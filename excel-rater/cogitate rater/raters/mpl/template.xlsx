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Rater" sheetId="1" state="visible" r:id="rId1"/>
    <sheet xmlns:r="http://schemas.openxmlformats.org/officeDocument/2006/relationships" name="Application" sheetId="2" state="visible" r:id="rId2"/>
    <sheet xmlns:r="http://schemas.openxmlformats.org/officeDocument/2006/relationships" name="Pick List" sheetId="3" state="visible" r:id="rId3"/>
    <sheet xmlns:r="http://schemas.openxmlformats.org/officeDocument/2006/relationships" name="Concatanate" sheetId="4" state="visible" r:id="rId4"/>
    <sheet xmlns:r="http://schemas.openxmlformats.org/officeDocument/2006/relationships" name="Code" sheetId="5" state="visible" r:id="rId5"/>
    <sheet xmlns:r="http://schemas.openxmlformats.org/officeDocument/2006/relationships" name="_Schema" sheetId="6" state="visible" r:id="rId6"/>
  </sheets>
  <externalReferences>
    <externalReference xmlns:r="http://schemas.openxmlformats.org/officeDocument/2006/relationships" r:id="rId7"/>
  </externalReferences>
  <definedNames>
    <definedName name="Coverage_A">[1]Input!$C$21</definedName>
    <definedName name="Coverage_B">[1]Input!$C$22</definedName>
    <definedName name="Coverage_C">[1]Input!$C$23</definedName>
    <definedName name="Coverage_D">[1]Input!$C$24</definedName>
    <definedName name="Coverage_Liability">[1]Input!$C$28</definedName>
    <definedName name="Coverage_Medical">[1]Input!$C$29</definedName>
    <definedName name="Premium_Liability">[1]Input!$AD$27</definedName>
    <definedName name="Premium_Property">[1]Input!$AD$24</definedName>
    <definedName name="Property_Owner_Name">[1]Input!$D$7</definedName>
    <definedName name="Property_Owner_Street_Address">[1]Input!$D$11</definedName>
    <definedName name="Property_Owner_Zip_Code">[1]Input!$J$12</definedName>
    <definedName name="Property_Update_Roof">[1]Input!$I$31</definedName>
    <definedName name="Year_Built">[1]Input!$F$28</definedName>
  </definedNames>
  <calcPr calcId="191029" fullCalcOnLoad="1"/>
</workbook>
</file>

<file path=xl/styles.xml><?xml version="1.0" encoding="utf-8"?>
<styleSheet xmlns="http://schemas.openxmlformats.org/spreadsheetml/2006/main">
  <numFmts count="5">
    <numFmt numFmtId="164" formatCode="_(&quot;$&quot;* #,##0.00_);_(&quot;$&quot;* \(#,##0.00\);_(&quot;$&quot;* &quot;-&quot;??_);_(@_)"/>
    <numFmt numFmtId="165" formatCode="_(&quot;$&quot;* #,##0_);_(&quot;$&quot;* \(#,##0\);_(&quot;$&quot;* &quot;-&quot;??_);_(@_)"/>
    <numFmt numFmtId="166" formatCode="&quot;$&quot;#,##0_);\(&quot;$&quot;#,##0\)"/>
    <numFmt numFmtId="167" formatCode="[&lt;=9999999]###\-####;\(###\)\ ###\-####"/>
    <numFmt numFmtId="168" formatCode="00000"/>
  </numFmts>
  <fonts count="42">
    <font>
      <name val="Calibri"/>
      <family val="2"/>
      <color theme="1"/>
      <sz val="11"/>
      <scheme val="minor"/>
    </font>
    <font>
      <name val="Calibri"/>
      <family val="2"/>
      <color theme="1"/>
      <sz val="11"/>
      <scheme val="minor"/>
    </font>
    <font>
      <name val="Calibri"/>
      <family val="2"/>
      <b val="1"/>
      <color theme="1"/>
      <sz val="11"/>
      <scheme val="minor"/>
    </font>
    <font>
      <name val="Arial"/>
      <family val="2"/>
      <color theme="1"/>
      <sz val="10"/>
    </font>
    <font>
      <name val="Calibri"/>
      <family val="2"/>
      <color theme="1"/>
      <sz val="10"/>
      <scheme val="minor"/>
    </font>
    <font>
      <name val="Calibri"/>
      <family val="2"/>
      <color rgb="FF231F20"/>
      <sz val="10"/>
    </font>
    <font>
      <name val="Calibri"/>
      <family val="2"/>
      <color rgb="FFFF0000"/>
      <sz val="11"/>
      <scheme val="minor"/>
    </font>
    <font>
      <name val="Times New Roman"/>
      <family val="1"/>
      <color theme="1"/>
      <sz val="10"/>
    </font>
    <font>
      <name val="Times New Roman"/>
      <family val="1"/>
      <color theme="1"/>
      <sz val="3"/>
    </font>
    <font>
      <name val="Arial Narrow"/>
      <family val="2"/>
      <color theme="1"/>
      <sz val="11"/>
    </font>
    <font>
      <name val="Arial Narrow"/>
      <family val="2"/>
      <b val="1"/>
      <color theme="1"/>
      <sz val="11"/>
    </font>
    <font>
      <name val="Arial Narrow"/>
      <family val="2"/>
      <b val="1"/>
      <i val="1"/>
      <color theme="1"/>
      <sz val="10.5"/>
    </font>
    <font>
      <name val="Arial Narrow"/>
      <family val="2"/>
      <b val="1"/>
      <color theme="1"/>
      <sz val="11"/>
      <u val="single"/>
    </font>
    <font>
      <name val="Arial Narrow"/>
      <family val="2"/>
      <b val="1"/>
      <color theme="1"/>
      <sz val="10"/>
    </font>
    <font>
      <name val="Arial Narrow"/>
      <family val="2"/>
      <color theme="1"/>
      <sz val="10"/>
    </font>
    <font>
      <name val="Arial Narrow"/>
      <family val="2"/>
      <b val="1"/>
      <color rgb="FFFF0000"/>
      <sz val="11"/>
    </font>
    <font>
      <name val="Arial Narrow"/>
      <family val="2"/>
      <b val="1"/>
      <sz val="11"/>
    </font>
    <font>
      <name val="Calibri"/>
      <family val="2"/>
      <sz val="11"/>
      <scheme val="minor"/>
    </font>
    <font>
      <name val="Calibri"/>
      <family val="2"/>
      <b val="1"/>
      <sz val="11"/>
      <scheme val="minor"/>
    </font>
    <font>
      <name val="Symbol"/>
      <charset val="2"/>
      <family val="1"/>
      <color theme="1"/>
      <sz val="11"/>
    </font>
    <font>
      <name val="Times New Roman"/>
      <family val="1"/>
      <color theme="1"/>
      <sz val="7"/>
    </font>
    <font>
      <name val="Calibri"/>
      <family val="2"/>
      <b val="1"/>
      <color rgb="FFFF0000"/>
      <sz val="11"/>
      <scheme val="minor"/>
    </font>
    <font>
      <name val="Tahoma"/>
      <family val="2"/>
      <color theme="1"/>
      <sz val="12"/>
    </font>
    <font>
      <name val="Arial"/>
      <family val="2"/>
      <b val="1"/>
      <color theme="1"/>
      <sz val="9"/>
    </font>
    <font>
      <name val="Arial"/>
      <family val="2"/>
      <color theme="1"/>
      <sz val="9"/>
    </font>
    <font>
      <name val="Arial"/>
      <family val="2"/>
      <color theme="1"/>
      <sz val="11"/>
    </font>
    <font>
      <name val="Arial Narrow"/>
      <family val="2"/>
      <b val="1"/>
      <color theme="1"/>
      <sz val="9"/>
    </font>
    <font>
      <name val="Arial Narrow"/>
      <family val="2"/>
      <color theme="1"/>
      <sz val="9"/>
    </font>
    <font>
      <name val="Arial Narrow"/>
      <family val="2"/>
      <b val="1"/>
      <color rgb="FFFF0000"/>
      <sz val="9"/>
    </font>
    <font>
      <name val="Arial"/>
      <family val="2"/>
      <color theme="1"/>
      <sz val="20"/>
    </font>
    <font>
      <name val="Arial"/>
      <family val="2"/>
      <b val="1"/>
      <color theme="1"/>
      <sz val="9"/>
      <u val="single"/>
    </font>
    <font>
      <name val="Arial"/>
      <family val="2"/>
      <b val="1"/>
      <color rgb="FFFF0000"/>
      <sz val="9"/>
    </font>
    <font>
      <name val="Arial"/>
      <family val="2"/>
      <color theme="1"/>
      <sz val="9.5"/>
    </font>
    <font>
      <name val="Arial"/>
      <family val="2"/>
      <b val="1"/>
      <color theme="1"/>
      <sz val="10"/>
    </font>
    <font>
      <name val="Arial"/>
      <family val="2"/>
      <b val="1"/>
      <color theme="1"/>
      <sz val="7"/>
    </font>
    <font>
      <name val="Arial Narrow"/>
      <family val="2"/>
      <b val="1"/>
      <color theme="1"/>
      <sz val="7"/>
    </font>
    <font>
      <name val="Arial"/>
      <family val="2"/>
      <b val="1"/>
      <color theme="1"/>
      <sz val="14"/>
    </font>
    <font>
      <name val="Arial Narrow"/>
      <family val="2"/>
      <color theme="1"/>
      <sz val="9.5"/>
    </font>
    <font>
      <name val="Times New Roman"/>
      <family val="1"/>
      <b val="1"/>
      <color theme="1"/>
      <sz val="18"/>
    </font>
    <font>
      <name val="Arial"/>
      <family val="2"/>
      <b val="1"/>
      <color theme="1"/>
      <sz val="10"/>
      <u val="single"/>
    </font>
    <font>
      <name val="Calibri"/>
      <family val="2"/>
      <color theme="10"/>
      <sz val="11"/>
      <u val="single"/>
      <scheme val="minor"/>
    </font>
    <font>
      <b val="1"/>
    </font>
  </fonts>
  <fills count="13">
    <fill>
      <patternFill/>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48"/>
        <bgColor indexed="64"/>
      </patternFill>
    </fill>
    <fill>
      <patternFill patternType="solid">
        <fgColor rgb="FF92D050"/>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6" tint="0.5999938962981048"/>
        <bgColor indexed="64"/>
      </patternFill>
    </fill>
    <fill>
      <patternFill patternType="solid">
        <fgColor theme="5" tint="0.7999816888943144"/>
        <bgColor indexed="64"/>
      </patternFill>
    </fill>
    <fill>
      <patternFill patternType="solid">
        <fgColor theme="3" tint="0.7999816888943144"/>
        <bgColor indexed="64"/>
      </patternFill>
    </fill>
    <fill>
      <patternFill patternType="solid">
        <fgColor theme="9" tint="0.7999816888943144"/>
        <bgColor indexed="64"/>
      </patternFill>
    </fill>
    <fill>
      <patternFill patternType="solid">
        <fgColor theme="0"/>
        <bgColor indexed="64"/>
      </patternFill>
    </fill>
  </fills>
  <borders count="4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4">
    <xf numFmtId="0" fontId="1" fillId="0" borderId="0"/>
    <xf numFmtId="164" fontId="1" fillId="0" borderId="0"/>
    <xf numFmtId="0" fontId="3" fillId="0" borderId="0"/>
    <xf numFmtId="0" fontId="40" fillId="0" borderId="0"/>
  </cellStyleXfs>
  <cellXfs count="224">
    <xf numFmtId="0" fontId="0" fillId="0" borderId="0" pivotButton="0" quotePrefix="0" xfId="0"/>
    <xf numFmtId="164" fontId="0" fillId="0" borderId="0" pivotButton="0" quotePrefix="0" xfId="1"/>
    <xf numFmtId="0" fontId="0" fillId="2" borderId="0" pivotButton="0" quotePrefix="0" xfId="0"/>
    <xf numFmtId="165" fontId="0" fillId="0" borderId="0" pivotButton="0" quotePrefix="0" xfId="1"/>
    <xf numFmtId="0" fontId="0" fillId="0" borderId="0" applyAlignment="1" pivotButton="0" quotePrefix="0" xfId="0">
      <alignment vertical="center" wrapText="1"/>
    </xf>
    <xf numFmtId="0" fontId="0" fillId="3" borderId="0" pivotButton="0" quotePrefix="0" xfId="0"/>
    <xf numFmtId="3" fontId="0" fillId="0" borderId="0" pivotButton="0" quotePrefix="0" xfId="0"/>
    <xf numFmtId="0" fontId="0" fillId="4" borderId="0" pivotButton="0" quotePrefix="0" xfId="0"/>
    <xf numFmtId="0" fontId="0" fillId="4" borderId="0" applyAlignment="1" pivotButton="0" quotePrefix="0" xfId="0">
      <alignment vertical="center" wrapText="1"/>
    </xf>
    <xf numFmtId="0" fontId="0" fillId="5" borderId="0" pivotButton="0" quotePrefix="0" xfId="0"/>
    <xf numFmtId="164" fontId="0" fillId="4" borderId="0" pivotButton="0" quotePrefix="0" xfId="1"/>
    <xf numFmtId="164" fontId="0" fillId="6" borderId="0" pivotButton="0" quotePrefix="0" xfId="1"/>
    <xf numFmtId="0" fontId="0" fillId="6" borderId="0" pivotButton="0" quotePrefix="0" xfId="0"/>
    <xf numFmtId="0" fontId="0" fillId="7" borderId="0" pivotButton="0" quotePrefix="0" xfId="0"/>
    <xf numFmtId="164" fontId="0" fillId="8" borderId="0" pivotButton="0" quotePrefix="0" xfId="1"/>
    <xf numFmtId="0" fontId="0" fillId="8" borderId="0" pivotButton="0" quotePrefix="0" xfId="0"/>
    <xf numFmtId="164" fontId="0" fillId="9" borderId="0" pivotButton="0" quotePrefix="0" xfId="1"/>
    <xf numFmtId="0" fontId="0" fillId="9" borderId="0" pivotButton="0" quotePrefix="0" xfId="0"/>
    <xf numFmtId="164" fontId="0" fillId="10" borderId="0" pivotButton="0" quotePrefix="0" xfId="1"/>
    <xf numFmtId="0" fontId="0" fillId="10" borderId="0" pivotButton="0" quotePrefix="0" xfId="0"/>
    <xf numFmtId="0" fontId="0" fillId="11" borderId="0" pivotButton="0" quotePrefix="0" xfId="0"/>
    <xf numFmtId="164" fontId="0" fillId="0" borderId="0" pivotButton="0" quotePrefix="0" xfId="0"/>
    <xf numFmtId="0" fontId="2" fillId="0" borderId="0" pivotButton="0" quotePrefix="0" xfId="0"/>
    <xf numFmtId="0" fontId="0" fillId="0" borderId="0" applyAlignment="1" pivotButton="0" quotePrefix="0" xfId="0">
      <alignment horizontal="left"/>
    </xf>
    <xf numFmtId="0" fontId="3" fillId="0" borderId="0" applyAlignment="1" pivotButton="0" quotePrefix="0" xfId="2">
      <alignment wrapText="1"/>
    </xf>
    <xf numFmtId="0" fontId="4" fillId="0" borderId="0" pivotButton="0" quotePrefix="0" xfId="0"/>
    <xf numFmtId="0" fontId="0" fillId="0" borderId="0" applyAlignment="1" pivotButton="0" quotePrefix="0" xfId="0">
      <alignment horizontal="left" vertical="top"/>
    </xf>
    <xf numFmtId="0" fontId="0" fillId="12" borderId="0" applyAlignment="1" pivotButton="0" quotePrefix="0" xfId="0">
      <alignment horizontal="left"/>
    </xf>
    <xf numFmtId="0" fontId="0" fillId="0" borderId="0" applyAlignment="1" pivotButton="0" quotePrefix="0" xfId="0">
      <alignment horizontal="center" vertical="center" wrapText="1"/>
    </xf>
    <xf numFmtId="0" fontId="7" fillId="0" borderId="0" applyAlignment="1" pivotButton="0" quotePrefix="0" xfId="0">
      <alignment horizontal="left" vertical="center" indent="15"/>
    </xf>
    <xf numFmtId="0" fontId="8" fillId="0" borderId="0" applyAlignment="1" pivotButton="0" quotePrefix="0" xfId="0">
      <alignment vertical="center"/>
    </xf>
    <xf numFmtId="0" fontId="9" fillId="0" borderId="0" applyAlignment="1" pivotButton="0" quotePrefix="0" xfId="0">
      <alignment horizontal="center" vertical="center"/>
    </xf>
    <xf numFmtId="0" fontId="9"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horizontal="center" vertical="center"/>
    </xf>
    <xf numFmtId="0" fontId="9" fillId="0" borderId="0" pivotButton="0" quotePrefix="0" xfId="0"/>
    <xf numFmtId="0" fontId="11" fillId="0" borderId="0" applyAlignment="1" pivotButton="0" quotePrefix="0" xfId="0">
      <alignment vertical="center"/>
    </xf>
    <xf numFmtId="0" fontId="12" fillId="0" borderId="0" applyAlignment="1" pivotButton="0" quotePrefix="0" xfId="0">
      <alignment vertical="center"/>
    </xf>
    <xf numFmtId="0" fontId="13" fillId="0" borderId="0" applyAlignment="1" pivotButton="0" quotePrefix="0" xfId="0">
      <alignment horizontal="center" vertical="center"/>
    </xf>
    <xf numFmtId="0" fontId="14" fillId="0" borderId="0" applyAlignment="1" pivotButton="0" quotePrefix="0" xfId="0">
      <alignment vertical="center"/>
    </xf>
    <xf numFmtId="0" fontId="14" fillId="0" borderId="0" applyAlignment="1" pivotButton="0" quotePrefix="0" xfId="0">
      <alignment horizontal="left" vertical="center" wrapText="1"/>
    </xf>
    <xf numFmtId="0" fontId="13" fillId="0" borderId="0" applyAlignment="1" pivotButton="0" quotePrefix="0" xfId="0">
      <alignment vertical="center"/>
    </xf>
    <xf numFmtId="0" fontId="13" fillId="0" borderId="0" applyAlignment="1" pivotButton="0" quotePrefix="0" xfId="0">
      <alignment horizontal="left" vertical="center" indent="2"/>
    </xf>
    <xf numFmtId="0" fontId="14" fillId="0" borderId="0" applyAlignment="1" pivotButton="0" quotePrefix="0" xfId="0">
      <alignment horizontal="left" vertical="center" indent="2"/>
    </xf>
    <xf numFmtId="165" fontId="14" fillId="0" borderId="0" applyAlignment="1" pivotButton="0" quotePrefix="0" xfId="1">
      <alignment vertical="center"/>
    </xf>
    <xf numFmtId="0" fontId="16" fillId="0" borderId="0" applyAlignment="1" pivotButton="0" quotePrefix="0" xfId="0">
      <alignment horizontal="left" vertical="center" indent="2"/>
    </xf>
    <xf numFmtId="0" fontId="17" fillId="0" borderId="0" pivotButton="0" quotePrefix="0" xfId="0"/>
    <xf numFmtId="164" fontId="1" fillId="0" borderId="0" pivotButton="0" quotePrefix="0" xfId="1"/>
    <xf numFmtId="164" fontId="17" fillId="0" borderId="0" pivotButton="0" quotePrefix="0" xfId="1"/>
    <xf numFmtId="0" fontId="18" fillId="0" borderId="0" pivotButton="0" quotePrefix="0" xfId="0"/>
    <xf numFmtId="0" fontId="9" fillId="0" borderId="0" applyAlignment="1" pivotButton="0" quotePrefix="0" xfId="0">
      <alignment horizontal="left" vertical="center" indent="2"/>
    </xf>
    <xf numFmtId="0" fontId="19" fillId="0" borderId="0" applyAlignment="1" pivotButton="0" quotePrefix="0" xfId="0">
      <alignment horizontal="left" vertical="center" indent="7"/>
    </xf>
    <xf numFmtId="0" fontId="9" fillId="0" borderId="0" applyAlignment="1" pivotButton="0" quotePrefix="0" xfId="0">
      <alignment horizontal="left" vertical="center" indent="7"/>
    </xf>
    <xf numFmtId="0" fontId="15" fillId="2" borderId="0" applyAlignment="1" pivotButton="0" quotePrefix="0" xfId="0">
      <alignment horizontal="left" vertical="center" indent="2"/>
    </xf>
    <xf numFmtId="0" fontId="6" fillId="2" borderId="0" pivotButton="0" quotePrefix="0" xfId="0"/>
    <xf numFmtId="0" fontId="6" fillId="0" borderId="0" pivotButton="0" quotePrefix="0" xfId="0"/>
    <xf numFmtId="0" fontId="9" fillId="0" borderId="0" applyAlignment="1" pivotButton="0" quotePrefix="0" xfId="0">
      <alignment horizontal="center" vertical="center" wrapText="1"/>
    </xf>
    <xf numFmtId="0" fontId="9" fillId="0" borderId="0" applyAlignment="1" pivotButton="0" quotePrefix="0" xfId="0">
      <alignment vertical="center" wrapText="1"/>
    </xf>
    <xf numFmtId="0" fontId="9" fillId="0" borderId="0" applyAlignment="1" pivotButton="0" quotePrefix="0" xfId="0">
      <alignment horizontal="left" vertical="center" indent="5"/>
    </xf>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0" fontId="24" fillId="0" borderId="0" applyAlignment="1" pivotButton="0" quotePrefix="0" xfId="0">
      <alignment horizontal="center" vertical="center" wrapText="1"/>
    </xf>
    <xf numFmtId="166" fontId="24" fillId="0" borderId="0" applyAlignment="1" pivotButton="0" quotePrefix="0" xfId="1">
      <alignment horizontal="left" vertical="center" wrapText="1"/>
    </xf>
    <xf numFmtId="0" fontId="26" fillId="0" borderId="0" applyAlignment="1" pivotButton="0" quotePrefix="0" xfId="0">
      <alignment vertical="center" wrapText="1"/>
    </xf>
    <xf numFmtId="0" fontId="26" fillId="0" borderId="0" applyAlignment="1" pivotButton="0" quotePrefix="0" xfId="0">
      <alignment vertical="center"/>
    </xf>
    <xf numFmtId="0" fontId="26" fillId="0" borderId="0" applyAlignment="1" pivotButton="0" quotePrefix="0" xfId="0">
      <alignment horizontal="left" vertical="center" indent="10"/>
    </xf>
    <xf numFmtId="0" fontId="28" fillId="0" borderId="0" applyAlignment="1" pivotButton="0" quotePrefix="0" xfId="0">
      <alignment horizontal="left" vertical="center" indent="10"/>
    </xf>
    <xf numFmtId="0" fontId="21" fillId="0" borderId="0" pivotButton="0" quotePrefix="0" xfId="0"/>
    <xf numFmtId="0" fontId="29" fillId="0" borderId="0" applyAlignment="1" pivotButton="0" quotePrefix="0" xfId="0">
      <alignment vertical="center"/>
    </xf>
    <xf numFmtId="0" fontId="23" fillId="0" borderId="0" applyAlignment="1" pivotButton="0" quotePrefix="0" xfId="0">
      <alignment horizontal="left" vertical="center" indent="5"/>
    </xf>
    <xf numFmtId="0" fontId="30" fillId="0" borderId="0" applyAlignment="1" pivotButton="0" quotePrefix="0" xfId="0">
      <alignment horizontal="left" vertical="center" indent="15"/>
    </xf>
    <xf numFmtId="0" fontId="23" fillId="0" borderId="0" applyAlignment="1" pivotButton="0" quotePrefix="0" xfId="0">
      <alignment vertical="center"/>
    </xf>
    <xf numFmtId="0" fontId="23" fillId="0" borderId="0" applyAlignment="1" pivotButton="0" quotePrefix="0" xfId="0">
      <alignment horizontal="center" vertical="center"/>
    </xf>
    <xf numFmtId="0" fontId="32" fillId="0" borderId="0" applyAlignment="1" pivotButton="0" quotePrefix="0" xfId="0">
      <alignment horizontal="left" vertical="center" indent="4"/>
    </xf>
    <xf numFmtId="0" fontId="23" fillId="0" borderId="0" applyAlignment="1" pivotButton="0" quotePrefix="0" xfId="0">
      <alignment horizontal="left" vertical="center" wrapText="1"/>
    </xf>
    <xf numFmtId="0" fontId="33" fillId="0" borderId="0" applyAlignment="1" pivotButton="0" quotePrefix="0" xfId="0">
      <alignment horizontal="left" vertical="center" indent="4"/>
    </xf>
    <xf numFmtId="0" fontId="34" fillId="0" borderId="0" applyAlignment="1" pivotButton="0" quotePrefix="0" xfId="0">
      <alignment horizontal="left" vertical="center" indent="4"/>
    </xf>
    <xf numFmtId="0" fontId="13" fillId="0" borderId="0" applyAlignment="1" pivotButton="0" quotePrefix="0" xfId="0">
      <alignment horizontal="left" vertical="center" indent="4"/>
    </xf>
    <xf numFmtId="0" fontId="35" fillId="0" borderId="0" applyAlignment="1" pivotButton="0" quotePrefix="0" xfId="0">
      <alignment horizontal="left" vertical="center" indent="4"/>
    </xf>
    <xf numFmtId="0" fontId="26" fillId="0" borderId="0" applyAlignment="1" pivotButton="0" quotePrefix="0" xfId="0">
      <alignment horizontal="left" vertical="center" indent="4"/>
    </xf>
    <xf numFmtId="0" fontId="26" fillId="0" borderId="0" applyAlignment="1" pivotButton="0" quotePrefix="0" xfId="0">
      <alignment horizontal="left" vertical="center" indent="15"/>
    </xf>
    <xf numFmtId="0" fontId="37" fillId="0" borderId="0" applyAlignment="1" pivotButton="0" quotePrefix="0" xfId="0">
      <alignment horizontal="left" vertical="center" indent="3"/>
    </xf>
    <xf numFmtId="0" fontId="38" fillId="0" borderId="0" applyAlignment="1" pivotButton="0" quotePrefix="0" xfId="0">
      <alignment horizontal="center" vertical="center"/>
    </xf>
    <xf numFmtId="0" fontId="33" fillId="0" borderId="0" applyAlignment="1" pivotButton="0" quotePrefix="0" xfId="0">
      <alignment horizontal="center" vertical="center" wrapText="1"/>
    </xf>
    <xf numFmtId="0" fontId="3" fillId="0" borderId="0" applyAlignment="1" pivotButton="0" quotePrefix="0" xfId="0">
      <alignment horizontal="left" vertical="center" indent="8"/>
    </xf>
    <xf numFmtId="0" fontId="33" fillId="0" borderId="0" applyAlignment="1" pivotButton="0" quotePrefix="0" xfId="0">
      <alignment horizontal="left" vertical="center" indent="8"/>
    </xf>
    <xf numFmtId="0" fontId="0" fillId="0" borderId="1"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167" fontId="0" fillId="0" borderId="6" pivotButton="0" quotePrefix="0" xfId="0"/>
    <xf numFmtId="168" fontId="0" fillId="0" borderId="6" pivotButton="0" quotePrefix="0" xfId="0"/>
    <xf numFmtId="0" fontId="40" fillId="0" borderId="9" pivotButton="0" quotePrefix="0" xfId="3"/>
    <xf numFmtId="0" fontId="0" fillId="0" borderId="0" applyAlignment="1" pivotButton="0" quotePrefix="0" xfId="0">
      <alignment horizontal="center"/>
    </xf>
    <xf numFmtId="0" fontId="0" fillId="0" borderId="0" applyAlignment="1" pivotButton="0" quotePrefix="0" xfId="0">
      <alignment horizontal="center" vertical="center" wrapText="1"/>
    </xf>
    <xf numFmtId="0" fontId="0" fillId="0" borderId="0" applyAlignment="1" pivotButton="0" quotePrefix="0" xfId="0">
      <alignment horizontal="left"/>
    </xf>
    <xf numFmtId="0" fontId="9" fillId="0" borderId="0" applyAlignment="1" pivotButton="0" quotePrefix="0" xfId="0">
      <alignment horizontal="center" vertical="center"/>
    </xf>
    <xf numFmtId="0" fontId="10" fillId="0" borderId="0" applyAlignment="1" pivotButton="0" quotePrefix="0" xfId="0">
      <alignment horizontal="center" vertical="center"/>
    </xf>
    <xf numFmtId="0" fontId="9" fillId="0" borderId="0" applyAlignment="1" pivotButton="0" quotePrefix="0" xfId="0">
      <alignment horizontal="left" vertical="center"/>
    </xf>
    <xf numFmtId="0" fontId="9" fillId="0" borderId="0" applyAlignment="1" pivotButton="0" quotePrefix="0" xfId="0">
      <alignment horizontal="left"/>
    </xf>
    <xf numFmtId="0" fontId="2" fillId="0" borderId="0" applyAlignment="1" pivotButton="0" quotePrefix="0" xfId="0">
      <alignment horizontal="center" vertical="center" wrapText="1"/>
    </xf>
    <xf numFmtId="0" fontId="15" fillId="0" borderId="0" applyAlignment="1" pivotButton="0" quotePrefix="0" xfId="0">
      <alignment horizontal="center" vertical="center" wrapText="1"/>
    </xf>
    <xf numFmtId="0" fontId="16" fillId="0" borderId="0" applyAlignment="1" pivotButton="0" quotePrefix="0" xfId="0">
      <alignment horizontal="right" vertical="center"/>
    </xf>
    <xf numFmtId="0" fontId="12" fillId="0" borderId="0" applyAlignment="1" pivotButton="0" quotePrefix="0" xfId="0">
      <alignment horizontal="center" vertical="center"/>
    </xf>
    <xf numFmtId="0" fontId="14" fillId="0" borderId="0" applyAlignment="1" pivotButton="0" quotePrefix="0" xfId="0">
      <alignment horizontal="left" vertical="center" wrapText="1"/>
    </xf>
    <xf numFmtId="0" fontId="13" fillId="0" borderId="0" applyAlignment="1" pivotButton="0" quotePrefix="0" xfId="0">
      <alignment horizontal="center" vertical="center"/>
    </xf>
    <xf numFmtId="14" fontId="4" fillId="0" borderId="0" applyAlignment="1" pivotButton="0" quotePrefix="0" xfId="0">
      <alignment horizontal="center"/>
    </xf>
    <xf numFmtId="0" fontId="14" fillId="0" borderId="0" applyAlignment="1" pivotButton="0" quotePrefix="0" xfId="0">
      <alignment horizontal="center" vertical="center"/>
    </xf>
    <xf numFmtId="0" fontId="0" fillId="0" borderId="0" applyAlignment="1" pivotButton="0" quotePrefix="0" xfId="0">
      <alignment horizontal="left" vertical="center" wrapText="1"/>
    </xf>
    <xf numFmtId="0" fontId="10" fillId="0" borderId="0" applyAlignment="1" pivotButton="0" quotePrefix="0" xfId="0">
      <alignment horizontal="center" vertical="center" wrapText="1"/>
    </xf>
    <xf numFmtId="0" fontId="22" fillId="0" borderId="0" applyAlignment="1" pivotButton="0" quotePrefix="0" xfId="0">
      <alignment horizontal="center" vertical="center"/>
    </xf>
    <xf numFmtId="0" fontId="23" fillId="0" borderId="1" applyAlignment="1" pivotButton="0" quotePrefix="0" xfId="0">
      <alignment horizontal="center" vertical="center" wrapText="1"/>
    </xf>
    <xf numFmtId="0" fontId="23" fillId="0" borderId="2" applyAlignment="1" pivotButton="0" quotePrefix="0" xfId="0">
      <alignment horizontal="center" vertical="center" wrapText="1"/>
    </xf>
    <xf numFmtId="0" fontId="23" fillId="0" borderId="3" applyAlignment="1" pivotButton="0" quotePrefix="0" xfId="0">
      <alignment horizontal="center" vertical="center" wrapText="1"/>
    </xf>
    <xf numFmtId="0" fontId="24" fillId="0" borderId="4" applyAlignment="1" pivotButton="0" quotePrefix="0" xfId="0">
      <alignment horizontal="center" vertical="center" wrapText="1"/>
    </xf>
    <xf numFmtId="0" fontId="24" fillId="0" borderId="5" applyAlignment="1" pivotButton="0" quotePrefix="0" xfId="0">
      <alignment horizontal="center" vertical="center" wrapText="1"/>
    </xf>
    <xf numFmtId="165" fontId="24" fillId="0" borderId="5" applyAlignment="1" pivotButton="0" quotePrefix="0" xfId="1">
      <alignment horizontal="left" vertical="center" wrapText="1"/>
    </xf>
    <xf numFmtId="165" fontId="24" fillId="0" borderId="6" applyAlignment="1" pivotButton="0" quotePrefix="0" xfId="1">
      <alignment horizontal="left" vertical="center" wrapText="1"/>
    </xf>
    <xf numFmtId="0" fontId="0" fillId="0" borderId="0" applyAlignment="1" pivotButton="0" quotePrefix="0" xfId="0">
      <alignment horizontal="left" wrapText="1"/>
    </xf>
    <xf numFmtId="0" fontId="15" fillId="0" borderId="0" applyAlignment="1" pivotButton="0" quotePrefix="0" xfId="0">
      <alignment horizontal="center" vertical="center"/>
    </xf>
    <xf numFmtId="0" fontId="6" fillId="0" borderId="0" applyAlignment="1" pivotButton="0" quotePrefix="0" xfId="0">
      <alignment horizontal="center"/>
    </xf>
    <xf numFmtId="49" fontId="24" fillId="0" borderId="5" applyAlignment="1" pivotButton="0" quotePrefix="0" xfId="1">
      <alignment vertical="center" wrapText="1"/>
    </xf>
    <xf numFmtId="49" fontId="24" fillId="0" borderId="6" applyAlignment="1" pivotButton="0" quotePrefix="0" xfId="1">
      <alignment vertical="center" wrapText="1"/>
    </xf>
    <xf numFmtId="166" fontId="24" fillId="0" borderId="5" applyAlignment="1" pivotButton="0" quotePrefix="0" xfId="1">
      <alignment horizontal="left" vertical="center" wrapText="1"/>
    </xf>
    <xf numFmtId="166" fontId="24" fillId="0" borderId="6" applyAlignment="1" pivotButton="0" quotePrefix="0" xfId="1">
      <alignment horizontal="left" vertical="center" wrapText="1"/>
    </xf>
    <xf numFmtId="0" fontId="24" fillId="0" borderId="4" applyAlignment="1" pivotButton="0" quotePrefix="0" xfId="0">
      <alignment horizontal="left" vertical="center" wrapText="1"/>
    </xf>
    <xf numFmtId="0" fontId="24" fillId="0" borderId="5" applyAlignment="1" pivotButton="0" quotePrefix="0" xfId="0">
      <alignment horizontal="left" vertical="center" wrapText="1"/>
    </xf>
    <xf numFmtId="0" fontId="23" fillId="0" borderId="5" applyAlignment="1" pivotButton="0" quotePrefix="0" xfId="0">
      <alignment horizontal="center" vertical="center" wrapText="1"/>
    </xf>
    <xf numFmtId="0" fontId="23" fillId="0" borderId="6" applyAlignment="1" pivotButton="0" quotePrefix="0" xfId="0">
      <alignment horizontal="center" vertical="center" wrapText="1"/>
    </xf>
    <xf numFmtId="0" fontId="24" fillId="0" borderId="16" applyAlignment="1" pivotButton="0" quotePrefix="0" xfId="0">
      <alignment horizontal="center" vertical="center" wrapText="1"/>
    </xf>
    <xf numFmtId="0" fontId="24" fillId="0" borderId="17" applyAlignment="1" pivotButton="0" quotePrefix="0" xfId="0">
      <alignment horizontal="center" vertical="center" wrapText="1"/>
    </xf>
    <xf numFmtId="0" fontId="24" fillId="0" borderId="18" applyAlignment="1" pivotButton="0" quotePrefix="0" xfId="0">
      <alignment horizontal="center" vertical="center" wrapText="1"/>
    </xf>
    <xf numFmtId="0" fontId="23" fillId="0" borderId="19" applyAlignment="1" pivotButton="0" quotePrefix="0" xfId="0">
      <alignment horizontal="center" vertical="center" wrapText="1"/>
    </xf>
    <xf numFmtId="0" fontId="23" fillId="0" borderId="20" applyAlignment="1" pivotButton="0" quotePrefix="0" xfId="0">
      <alignment horizontal="center" vertical="center" wrapText="1"/>
    </xf>
    <xf numFmtId="0" fontId="24" fillId="0" borderId="7" applyAlignment="1" pivotButton="0" quotePrefix="0" xfId="0">
      <alignment horizontal="center" vertical="center" wrapText="1"/>
    </xf>
    <xf numFmtId="0" fontId="24" fillId="0" borderId="8" applyAlignment="1" pivotButton="0" quotePrefix="0" xfId="0">
      <alignment horizontal="center" vertical="center" wrapText="1"/>
    </xf>
    <xf numFmtId="166" fontId="24" fillId="0" borderId="8" applyAlignment="1" pivotButton="0" quotePrefix="0" xfId="1">
      <alignment horizontal="left" vertical="center" wrapText="1"/>
    </xf>
    <xf numFmtId="166" fontId="24" fillId="0" borderId="9" applyAlignment="1" pivotButton="0" quotePrefix="0" xfId="1">
      <alignment horizontal="left" vertical="center" wrapText="1"/>
    </xf>
    <xf numFmtId="0" fontId="25" fillId="0" borderId="10" applyAlignment="1" pivotButton="0" quotePrefix="0" xfId="0">
      <alignment horizontal="center"/>
    </xf>
    <xf numFmtId="0" fontId="25" fillId="0" borderId="11" applyAlignment="1" pivotButton="0" quotePrefix="0" xfId="0">
      <alignment horizontal="center"/>
    </xf>
    <xf numFmtId="0" fontId="25" fillId="0" borderId="12" applyAlignment="1" pivotButton="0" quotePrefix="0" xfId="0">
      <alignment horizontal="center"/>
    </xf>
    <xf numFmtId="0" fontId="24" fillId="0" borderId="13" applyAlignment="1" pivotButton="0" quotePrefix="0" xfId="0">
      <alignment horizontal="left" vertical="center" wrapText="1"/>
    </xf>
    <xf numFmtId="0" fontId="24" fillId="0" borderId="14" applyAlignment="1" pivotButton="0" quotePrefix="0" xfId="0">
      <alignment horizontal="left" vertical="center" wrapText="1"/>
    </xf>
    <xf numFmtId="0" fontId="23" fillId="0" borderId="14" applyAlignment="1" pivotButton="0" quotePrefix="0" xfId="0">
      <alignment horizontal="center" vertical="center" wrapText="1"/>
    </xf>
    <xf numFmtId="0" fontId="23" fillId="0" borderId="15" applyAlignment="1" pivotButton="0" quotePrefix="0" xfId="0">
      <alignment horizontal="center" vertical="center" wrapText="1"/>
    </xf>
    <xf numFmtId="0" fontId="24" fillId="0" borderId="1" applyAlignment="1" pivotButton="0" quotePrefix="0" xfId="0">
      <alignment horizontal="center" vertical="center" wrapText="1"/>
    </xf>
    <xf numFmtId="0" fontId="24" fillId="0" borderId="2" applyAlignment="1" pivotButton="0" quotePrefix="0" xfId="0">
      <alignment horizontal="center" vertical="center" wrapText="1"/>
    </xf>
    <xf numFmtId="0" fontId="0" fillId="0" borderId="24" applyAlignment="1" pivotButton="0" quotePrefix="0" xfId="0">
      <alignment horizontal="center"/>
    </xf>
    <xf numFmtId="0" fontId="0" fillId="0" borderId="25" applyAlignment="1" pivotButton="0" quotePrefix="0" xfId="0">
      <alignment horizontal="center"/>
    </xf>
    <xf numFmtId="0" fontId="0" fillId="0" borderId="26" applyAlignment="1" pivotButton="0" quotePrefix="0" xfId="0">
      <alignment horizontal="center"/>
    </xf>
    <xf numFmtId="1" fontId="0" fillId="0" borderId="24" applyAlignment="1" pivotButton="0" quotePrefix="0" xfId="0">
      <alignment horizontal="center"/>
    </xf>
    <xf numFmtId="1" fontId="0" fillId="0" borderId="25" applyAlignment="1" pivotButton="0" quotePrefix="0" xfId="0">
      <alignment horizontal="center"/>
    </xf>
    <xf numFmtId="1" fontId="0" fillId="0" borderId="26" applyAlignment="1" pivotButton="0" quotePrefix="0" xfId="0">
      <alignment horizontal="center"/>
    </xf>
    <xf numFmtId="0" fontId="0" fillId="0" borderId="21" applyAlignment="1" pivotButton="0" quotePrefix="0" xfId="0">
      <alignment horizontal="center"/>
    </xf>
    <xf numFmtId="0" fontId="0" fillId="0" borderId="22" applyAlignment="1" pivotButton="0" quotePrefix="0" xfId="0">
      <alignment horizontal="center"/>
    </xf>
    <xf numFmtId="0" fontId="0" fillId="0" borderId="23" applyAlignment="1" pivotButton="0" quotePrefix="0" xfId="0">
      <alignment horizontal="center"/>
    </xf>
    <xf numFmtId="0" fontId="23" fillId="0" borderId="19" applyAlignment="1" pivotButton="0" quotePrefix="0" xfId="0">
      <alignment horizontal="center" vertical="center"/>
    </xf>
    <xf numFmtId="0" fontId="24" fillId="0" borderId="1" applyAlignment="1" pivotButton="0" quotePrefix="0" xfId="0">
      <alignment horizontal="right" vertical="center" wrapText="1"/>
    </xf>
    <xf numFmtId="0" fontId="24" fillId="0" borderId="2" applyAlignment="1" pivotButton="0" quotePrefix="0" xfId="0">
      <alignment horizontal="right" vertical="center" wrapText="1"/>
    </xf>
    <xf numFmtId="0" fontId="27" fillId="0" borderId="2" applyAlignment="1" pivotButton="0" quotePrefix="0" xfId="0">
      <alignment horizontal="center" vertical="center" wrapText="1"/>
    </xf>
    <xf numFmtId="0" fontId="27" fillId="0" borderId="3" applyAlignment="1" pivotButton="0" quotePrefix="0" xfId="0">
      <alignment horizontal="center" vertical="center" wrapText="1"/>
    </xf>
    <xf numFmtId="0" fontId="24" fillId="0" borderId="4" applyAlignment="1" pivotButton="0" quotePrefix="0" xfId="0">
      <alignment horizontal="right" vertical="center" wrapText="1"/>
    </xf>
    <xf numFmtId="0" fontId="24" fillId="0" borderId="5" applyAlignment="1" pivotButton="0" quotePrefix="0" xfId="0">
      <alignment horizontal="right" vertical="center" wrapText="1"/>
    </xf>
    <xf numFmtId="0" fontId="27" fillId="0" borderId="5" applyAlignment="1" pivotButton="0" quotePrefix="0" xfId="0">
      <alignment horizontal="center" vertical="center" wrapText="1"/>
    </xf>
    <xf numFmtId="0" fontId="27" fillId="0" borderId="6" applyAlignment="1" pivotButton="0" quotePrefix="0" xfId="0">
      <alignment horizontal="center" vertical="center" wrapText="1"/>
    </xf>
    <xf numFmtId="166" fontId="0" fillId="0" borderId="24" applyAlignment="1" pivotButton="0" quotePrefix="0" xfId="1">
      <alignment horizontal="center"/>
    </xf>
    <xf numFmtId="166" fontId="0" fillId="0" borderId="25" applyAlignment="1" pivotButton="0" quotePrefix="0" xfId="1">
      <alignment horizontal="center"/>
    </xf>
    <xf numFmtId="166" fontId="0" fillId="0" borderId="26" applyAlignment="1" pivotButton="0" quotePrefix="0" xfId="1">
      <alignment horizontal="center"/>
    </xf>
    <xf numFmtId="0" fontId="0" fillId="0" borderId="27" applyAlignment="1" pivotButton="0" quotePrefix="0" xfId="0">
      <alignment horizontal="center"/>
    </xf>
    <xf numFmtId="0" fontId="0" fillId="0" borderId="17" applyAlignment="1" pivotButton="0" quotePrefix="0" xfId="0">
      <alignment horizontal="center"/>
    </xf>
    <xf numFmtId="0" fontId="0" fillId="0" borderId="28" applyAlignment="1" pivotButton="0" quotePrefix="0" xfId="0">
      <alignment horizontal="center"/>
    </xf>
    <xf numFmtId="0" fontId="24" fillId="0" borderId="7" applyAlignment="1" pivotButton="0" quotePrefix="0" xfId="0">
      <alignment horizontal="right" vertical="center" wrapText="1"/>
    </xf>
    <xf numFmtId="0" fontId="24" fillId="0" borderId="8" applyAlignment="1" pivotButton="0" quotePrefix="0" xfId="0">
      <alignment horizontal="right" vertical="center" wrapText="1"/>
    </xf>
    <xf numFmtId="0" fontId="27" fillId="0" borderId="8" applyAlignment="1" pivotButton="0" quotePrefix="0" xfId="0">
      <alignment horizontal="center" vertical="center" wrapText="1"/>
    </xf>
    <xf numFmtId="0" fontId="27" fillId="0" borderId="9" applyAlignment="1" pivotButton="0" quotePrefix="0" xfId="0">
      <alignment horizontal="center" vertical="center" wrapText="1"/>
    </xf>
    <xf numFmtId="0" fontId="29" fillId="0" borderId="0" applyAlignment="1" pivotButton="0" quotePrefix="0" xfId="0">
      <alignment horizontal="center" vertical="center"/>
    </xf>
    <xf numFmtId="0" fontId="23" fillId="0" borderId="0" applyAlignment="1" pivotButton="0" quotePrefix="0" xfId="0">
      <alignment horizontal="center" vertical="center"/>
    </xf>
    <xf numFmtId="0" fontId="31" fillId="0" borderId="0" applyAlignment="1" pivotButton="0" quotePrefix="0" xfId="0">
      <alignment horizontal="center" vertical="center"/>
    </xf>
    <xf numFmtId="0" fontId="23" fillId="0" borderId="0" applyAlignment="1" pivotButton="0" quotePrefix="0" xfId="0">
      <alignment horizontal="left" vertical="center" wrapText="1"/>
    </xf>
    <xf numFmtId="0" fontId="33" fillId="0" borderId="0" applyAlignment="1" pivotButton="0" quotePrefix="0" xfId="0">
      <alignment horizontal="left" vertical="center" wrapText="1"/>
    </xf>
    <xf numFmtId="0" fontId="21" fillId="0" borderId="0" applyAlignment="1" pivotButton="0" quotePrefix="0" xfId="0">
      <alignment horizontal="center"/>
    </xf>
    <xf numFmtId="0" fontId="31" fillId="0" borderId="0" applyAlignment="1" pivotButton="0" quotePrefix="0" xfId="0">
      <alignment horizontal="left" vertical="center"/>
    </xf>
    <xf numFmtId="0" fontId="27" fillId="0" borderId="0" applyAlignment="1" pivotButton="0" quotePrefix="0" xfId="0">
      <alignment horizontal="center" vertical="center" wrapText="1"/>
    </xf>
    <xf numFmtId="0" fontId="36" fillId="0" borderId="0" applyAlignment="1" pivotButton="0" quotePrefix="0" xfId="0">
      <alignment horizontal="center" vertical="center"/>
    </xf>
    <xf numFmtId="0" fontId="33" fillId="0" borderId="0" applyAlignment="1" pivotButton="0" quotePrefix="0" xfId="0">
      <alignment horizontal="center" vertical="center" wrapText="1"/>
    </xf>
    <xf numFmtId="0" fontId="24" fillId="0" borderId="0" applyAlignment="1" pivotButton="0" quotePrefix="0" xfId="0">
      <alignment horizontal="center" vertical="center"/>
    </xf>
    <xf numFmtId="0" fontId="3" fillId="0" borderId="0" applyAlignment="1" pivotButton="0" quotePrefix="0" xfId="0">
      <alignment horizontal="left" vertical="center" wrapText="1"/>
    </xf>
    <xf numFmtId="164" fontId="0" fillId="0" borderId="0" pivotButton="0" quotePrefix="0" xfId="1"/>
    <xf numFmtId="165" fontId="0" fillId="0" borderId="0" pivotButton="0" quotePrefix="0" xfId="1"/>
    <xf numFmtId="164" fontId="0" fillId="0" borderId="0" pivotButton="0" quotePrefix="0" xfId="0"/>
    <xf numFmtId="165" fontId="14" fillId="0" borderId="0" applyAlignment="1" pivotButton="0" quotePrefix="0" xfId="1">
      <alignment vertical="center"/>
    </xf>
    <xf numFmtId="164" fontId="1" fillId="0" borderId="0" pivotButton="0" quotePrefix="0" xfId="1"/>
    <xf numFmtId="164" fontId="17" fillId="0" borderId="0" pivotButton="0" quotePrefix="0" xfId="1"/>
    <xf numFmtId="0" fontId="0" fillId="0" borderId="22" pivotButton="0" quotePrefix="0" xfId="0"/>
    <xf numFmtId="0" fontId="0" fillId="0" borderId="35" pivotButton="0" quotePrefix="0" xfId="0"/>
    <xf numFmtId="0" fontId="0" fillId="0" borderId="31" pivotButton="0" quotePrefix="0" xfId="0"/>
    <xf numFmtId="0" fontId="0" fillId="0" borderId="32" pivotButton="0" quotePrefix="0" xfId="0"/>
    <xf numFmtId="165" fontId="24" fillId="0" borderId="5" applyAlignment="1" pivotButton="0" quotePrefix="0" xfId="1">
      <alignment horizontal="left" vertical="center" wrapText="1"/>
    </xf>
    <xf numFmtId="166" fontId="24" fillId="0" borderId="5" applyAlignment="1" pivotButton="0" quotePrefix="0" xfId="1">
      <alignment horizontal="left" vertical="center" wrapText="1"/>
    </xf>
    <xf numFmtId="0" fontId="0" fillId="0" borderId="17" pivotButton="0" quotePrefix="0" xfId="0"/>
    <xf numFmtId="0" fontId="0" fillId="0" borderId="18" pivotButton="0" quotePrefix="0" xfId="0"/>
    <xf numFmtId="166" fontId="24" fillId="0" borderId="8" applyAlignment="1" pivotButton="0" quotePrefix="0" xfId="1">
      <alignment horizontal="left" vertical="center" wrapText="1"/>
    </xf>
    <xf numFmtId="166" fontId="24" fillId="0" borderId="0" applyAlignment="1" pivotButton="0" quotePrefix="0" xfId="1">
      <alignment horizontal="left" vertical="center" wrapText="1"/>
    </xf>
    <xf numFmtId="0" fontId="0" fillId="0" borderId="39" pivotButton="0" quotePrefix="0" xfId="0"/>
    <xf numFmtId="0" fontId="0" fillId="0" borderId="40" pivotButton="0" quotePrefix="0" xfId="0"/>
    <xf numFmtId="0" fontId="0" fillId="0" borderId="42" pivotButton="0" quotePrefix="0" xfId="0"/>
    <xf numFmtId="0" fontId="0" fillId="0" borderId="43" pivotButton="0" quotePrefix="0" xfId="0"/>
    <xf numFmtId="0" fontId="0" fillId="0" borderId="19" pivotButton="0" quotePrefix="0" xfId="0"/>
    <xf numFmtId="0" fontId="0" fillId="0" borderId="20" pivotButton="0" quotePrefix="0" xfId="0"/>
    <xf numFmtId="0" fontId="0" fillId="0" borderId="3" applyAlignment="1" pivotButton="0" quotePrefix="0" xfId="0">
      <alignment horizontal="center"/>
    </xf>
    <xf numFmtId="0" fontId="0" fillId="0" borderId="23" pivotButton="0" quotePrefix="0" xfId="0"/>
    <xf numFmtId="0" fontId="0" fillId="0" borderId="6" applyAlignment="1" pivotButton="0" quotePrefix="0" xfId="0">
      <alignment horizontal="center"/>
    </xf>
    <xf numFmtId="0" fontId="0" fillId="0" borderId="26" pivotButton="0" quotePrefix="0" xfId="0"/>
    <xf numFmtId="1" fontId="0" fillId="0" borderId="6" applyAlignment="1" pivotButton="0" quotePrefix="0" xfId="0">
      <alignment horizontal="center"/>
    </xf>
    <xf numFmtId="166" fontId="0" fillId="0" borderId="6" applyAlignment="1" pivotButton="0" quotePrefix="0" xfId="1">
      <alignment horizontal="center"/>
    </xf>
    <xf numFmtId="0" fontId="0" fillId="0" borderId="9" applyAlignment="1" pivotButton="0" quotePrefix="0" xfId="0">
      <alignment horizontal="center"/>
    </xf>
    <xf numFmtId="0" fontId="0" fillId="0" borderId="28" pivotButton="0" quotePrefix="0" xfId="0"/>
    <xf numFmtId="164" fontId="0" fillId="4" borderId="0" pivotButton="0" quotePrefix="0" xfId="1"/>
    <xf numFmtId="164" fontId="0" fillId="8" borderId="0" pivotButton="0" quotePrefix="0" xfId="1"/>
    <xf numFmtId="164" fontId="0" fillId="6" borderId="0" pivotButton="0" quotePrefix="0" xfId="1"/>
    <xf numFmtId="164" fontId="0" fillId="10" borderId="0" pivotButton="0" quotePrefix="0" xfId="1"/>
    <xf numFmtId="164" fontId="0" fillId="9" borderId="0" pivotButton="0" quotePrefix="0" xfId="1"/>
    <xf numFmtId="0" fontId="41" fillId="0" borderId="0" pivotButton="0" quotePrefix="0" xfId="0"/>
  </cellXfs>
  <cellStyles count="4">
    <cellStyle name="Normal" xfId="0" builtinId="0"/>
    <cellStyle name="Currency" xfId="1" builtinId="4"/>
    <cellStyle name="Normal 2" xfId="2"/>
    <cellStyle name="Hyperlink" xfId="3"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styles" Target="styles.xml" Id="rId8"/><Relationship Type="http://schemas.openxmlformats.org/officeDocument/2006/relationships/theme" Target="theme/theme1.xml" Id="rId9"/></Relationships>
</file>

<file path=xl/externalLinks/_rels/externalLink1.xml.rels><Relationships xmlns="http://schemas.openxmlformats.org/package/2006/relationships"><Relationship Type="http://schemas.openxmlformats.org/officeDocument/2006/relationships/externalLinkPath" Target="https://riskstrategiesco-my.sharepoint.com/personal/mburlingame_risk-strategies_com/Documents/Desktop/Raters/Copy%20of%20Rental_Rater_-_V36%207.9.25.xlsm"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Input"/>
      <sheetName val="Crime Instruction"/>
      <sheetName val="Sheet1"/>
      <sheetName val="Guideline"/>
      <sheetName val="Application Starstone (AMNAT)"/>
      <sheetName val="Application Fortegra"/>
      <sheetName val="Application Great Lakes"/>
      <sheetName val="Great Lakes Rules"/>
      <sheetName val="tax"/>
      <sheetName val="Application"/>
      <sheetName val="Rating Worksheet"/>
      <sheetName val="Harris Tier 1"/>
      <sheetName val="Missing Input"/>
      <sheetName val="Rating Tables"/>
      <sheetName val="Data"/>
      <sheetName val="Data Row"/>
      <sheetName val="Counties"/>
      <sheetName val="rates"/>
      <sheetName val="Changes"/>
      <sheetName val="Program"/>
    </sheetNames>
    <sheetDataSet>
      <sheetData sheetId="0">
        <row r="8">
          <cell r="S8" t="str">
            <v>CO</v>
          </cell>
          <cell r="U8">
            <v>80905</v>
          </cell>
        </row>
        <row r="9">
          <cell r="M9" t="str">
            <v xml:space="preserve">El Paso  </v>
          </cell>
        </row>
        <row r="12">
          <cell r="J12">
            <v>80906</v>
          </cell>
        </row>
        <row r="16">
          <cell r="I16" t="str">
            <v>Single Family</v>
          </cell>
        </row>
        <row r="17">
          <cell r="A17">
            <v>45231</v>
          </cell>
        </row>
        <row r="20">
          <cell r="I20" t="str">
            <v>Frame</v>
          </cell>
          <cell r="R20">
            <v>5000</v>
          </cell>
        </row>
        <row r="21">
          <cell r="C21">
            <v>100000</v>
          </cell>
        </row>
        <row r="22">
          <cell r="C22">
            <v>10000</v>
          </cell>
        </row>
        <row r="23">
          <cell r="C23">
            <v>25000</v>
          </cell>
          <cell r="U23" t="str">
            <v>No</v>
          </cell>
        </row>
        <row r="24">
          <cell r="C24">
            <v>50000</v>
          </cell>
          <cell r="I24" t="str">
            <v>Asphalt Shingles</v>
          </cell>
          <cell r="AD24">
            <v>835</v>
          </cell>
        </row>
        <row r="25">
          <cell r="C25">
            <v>185000</v>
          </cell>
        </row>
        <row r="27">
          <cell r="AD27">
            <v>125</v>
          </cell>
        </row>
        <row r="28">
          <cell r="C28" t="str">
            <v>$1M/$2M</v>
          </cell>
          <cell r="F28">
            <v>1985</v>
          </cell>
        </row>
        <row r="29">
          <cell r="C29">
            <v>1000</v>
          </cell>
        </row>
        <row r="31">
          <cell r="I31">
            <v>2015</v>
          </cell>
          <cell r="K31">
            <v>2015</v>
          </cell>
          <cell r="M31">
            <v>2015</v>
          </cell>
          <cell r="O31">
            <v>2015</v>
          </cell>
        </row>
        <row r="33">
          <cell r="AE33">
            <v>38.25</v>
          </cell>
        </row>
        <row r="34">
          <cell r="H34" t="str">
            <v>Yes</v>
          </cell>
          <cell r="S34" t="str">
            <v>No</v>
          </cell>
          <cell r="AE34">
            <v>1.9950000000000001</v>
          </cell>
        </row>
        <row r="35">
          <cell r="H35" t="str">
            <v>No</v>
          </cell>
          <cell r="AE35">
            <v>100</v>
          </cell>
        </row>
        <row r="36">
          <cell r="H36" t="str">
            <v>No</v>
          </cell>
          <cell r="AE36">
            <v>180</v>
          </cell>
        </row>
        <row r="37">
          <cell r="H37" t="str">
            <v>Yes</v>
          </cell>
          <cell r="AE37">
            <v>0</v>
          </cell>
        </row>
        <row r="38">
          <cell r="H38" t="str">
            <v>No</v>
          </cell>
          <cell r="AE38">
            <v>0</v>
          </cell>
        </row>
        <row r="39">
          <cell r="AE39">
            <v>35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0">
          <cell r="C70">
            <v>5000</v>
          </cell>
        </row>
        <row r="71">
          <cell r="C71" t="str">
            <v>Greater of 2% or AOP Deductible</v>
          </cell>
        </row>
      </sheetData>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one80.com/" TargetMode="External" Id="rId1"/><Relationship Type="http://schemas.openxmlformats.org/officeDocument/2006/relationships/hyperlink" Target="http://www.one80.com/" TargetMode="External" Id="rId2"/></Relationships>
</file>

<file path=xl/worksheets/sheet1.xml><?xml version="1.0" encoding="utf-8"?>
<worksheet xmlns="http://schemas.openxmlformats.org/spreadsheetml/2006/main">
  <sheetPr>
    <outlinePr summaryBelow="1" summaryRight="1"/>
    <pageSetUpPr/>
  </sheetPr>
  <dimension ref="A1:J48"/>
  <sheetViews>
    <sheetView tabSelected="1" topLeftCell="A5" workbookViewId="0">
      <selection activeCell="F21" sqref="F21"/>
    </sheetView>
  </sheetViews>
  <sheetFormatPr baseColWidth="8" defaultRowHeight="14.5"/>
  <cols>
    <col width="21.81640625" customWidth="1" min="1" max="1"/>
    <col width="65.54296875" customWidth="1" min="2" max="2"/>
    <col width="28" bestFit="1" customWidth="1" min="7" max="8"/>
    <col width="28" customWidth="1" min="9" max="9"/>
  </cols>
  <sheetData>
    <row r="1">
      <c r="A1" s="86" t="inlineStr">
        <is>
          <t>Name of Insured:</t>
        </is>
      </c>
      <c r="B1" s="87" t="inlineStr">
        <is>
          <t>TEST CLIENT</t>
        </is>
      </c>
    </row>
    <row r="2">
      <c r="A2" s="88" t="inlineStr">
        <is>
          <t>Business Address:</t>
        </is>
      </c>
      <c r="B2" s="89" t="inlineStr">
        <is>
          <t>1 Main Street Suite 200</t>
        </is>
      </c>
    </row>
    <row r="3">
      <c r="A3" s="88" t="inlineStr">
        <is>
          <t>Business Address City:</t>
        </is>
      </c>
      <c r="B3" s="89" t="inlineStr">
        <is>
          <t>Colorado Springs</t>
        </is>
      </c>
    </row>
    <row r="4">
      <c r="A4" s="88" t="inlineStr">
        <is>
          <t>Business Address State:</t>
        </is>
      </c>
      <c r="B4" s="89" t="inlineStr">
        <is>
          <t>CO</t>
        </is>
      </c>
    </row>
    <row r="5">
      <c r="A5" s="88" t="inlineStr">
        <is>
          <t>Business Address Zip:</t>
        </is>
      </c>
      <c r="B5" s="92" t="n">
        <v>80906</v>
      </c>
    </row>
    <row r="6">
      <c r="A6" s="88" t="inlineStr">
        <is>
          <t>Business Phone:</t>
        </is>
      </c>
      <c r="B6" s="91" t="inlineStr">
        <is>
          <t>303-900-2960</t>
        </is>
      </c>
    </row>
    <row r="7" ht="15" customHeight="1" thickBot="1">
      <c r="A7" s="90" t="inlineStr">
        <is>
          <t>Business Web URL:</t>
        </is>
      </c>
      <c r="B7" s="93" t="inlineStr">
        <is>
          <t>www.one80.com</t>
        </is>
      </c>
    </row>
    <row r="11">
      <c r="A11" t="inlineStr">
        <is>
          <t>STATE OF RISK</t>
        </is>
      </c>
      <c r="B11" t="inlineStr">
        <is>
          <t>CO</t>
        </is>
      </c>
      <c r="H11" t="inlineStr">
        <is>
          <t>Profile of Jobs</t>
        </is>
      </c>
      <c r="I11" t="inlineStr">
        <is>
          <t>Average hazard</t>
        </is>
      </c>
      <c r="J11">
        <f>VLOOKUP(I11,'Pick List'!J$21:K$24,2,FALSE)</f>
        <v/>
      </c>
    </row>
    <row r="12">
      <c r="A12" t="inlineStr">
        <is>
          <t>Class Description</t>
        </is>
      </c>
      <c r="B12" t="inlineStr">
        <is>
          <t>Animal Training Services</t>
        </is>
      </c>
      <c r="H12" t="inlineStr">
        <is>
          <t>management Credentials</t>
        </is>
      </c>
      <c r="I12" t="inlineStr">
        <is>
          <t>Below Average Hazard</t>
        </is>
      </c>
      <c r="J12">
        <f>VLOOKUP(I12,'Pick List'!J$21:K$24,2,FALSE)</f>
        <v/>
      </c>
    </row>
    <row r="13">
      <c r="A13" t="inlineStr">
        <is>
          <t>Base Rate</t>
        </is>
      </c>
      <c r="B13" s="188" t="n">
        <v>800</v>
      </c>
      <c r="H13" t="inlineStr">
        <is>
          <t>History of Disciplinary Actions</t>
        </is>
      </c>
      <c r="I13" t="inlineStr">
        <is>
          <t>Average hazard</t>
        </is>
      </c>
      <c r="J13">
        <f>VLOOKUP(I13,'Pick List'!J$21:K$24,2,FALSE)</f>
        <v/>
      </c>
    </row>
    <row r="14">
      <c r="A14" s="5" t="inlineStr">
        <is>
          <t>Rating Codes</t>
        </is>
      </c>
      <c r="B14" s="5" t="inlineStr">
        <is>
          <t>Selection</t>
        </is>
      </c>
      <c r="C14" s="5" t="inlineStr">
        <is>
          <t>Multiple</t>
        </is>
      </c>
      <c r="H14" t="inlineStr">
        <is>
          <t>Changes in Staff/Operations</t>
        </is>
      </c>
      <c r="I14" t="inlineStr">
        <is>
          <t>Average hazard</t>
        </is>
      </c>
      <c r="J14">
        <f>VLOOKUP(I14,'Pick List'!J$21:K$24,2,FALSE)</f>
        <v/>
      </c>
    </row>
    <row r="15">
      <c r="A15" s="7" t="inlineStr">
        <is>
          <t>Class</t>
        </is>
      </c>
      <c r="B15">
        <f>VLOOKUP(B12,Code!A1:B128,2,FALSE)</f>
        <v/>
      </c>
      <c r="C15" s="7" t="n">
        <v>3</v>
      </c>
      <c r="H15" t="inlineStr">
        <is>
          <t>Industry Regulatory Environment</t>
        </is>
      </c>
      <c r="I15" t="inlineStr">
        <is>
          <t>Average hazard</t>
        </is>
      </c>
      <c r="J15">
        <f>VLOOKUP(I15,'Pick List'!J$21:K$24,2,FALSE)</f>
        <v/>
      </c>
    </row>
    <row r="16">
      <c r="A16" s="7" t="inlineStr">
        <is>
          <t>Revenue</t>
        </is>
      </c>
      <c r="B16" t="inlineStr">
        <is>
          <t>$3,000,001-$6,000,000</t>
        </is>
      </c>
      <c r="C16" s="7" t="n">
        <v>2</v>
      </c>
      <c r="H16" t="inlineStr">
        <is>
          <t>Industry Issues</t>
        </is>
      </c>
      <c r="I16" t="inlineStr">
        <is>
          <t>Average hazard</t>
        </is>
      </c>
      <c r="J16">
        <f>VLOOKUP(I16,'Pick List'!J$21:K$24,2,FALSE)</f>
        <v/>
      </c>
    </row>
    <row r="17">
      <c r="A17" s="7" t="inlineStr">
        <is>
          <t>Longevity</t>
        </is>
      </c>
      <c r="B17" t="inlineStr">
        <is>
          <t>Less than 5 years in Business</t>
        </is>
      </c>
      <c r="C17" s="7">
        <f>VLOOKUP(B17,'Pick List'!A19:B21,2,FALSE)</f>
        <v/>
      </c>
      <c r="H17" t="inlineStr">
        <is>
          <t>Internal Controls</t>
        </is>
      </c>
      <c r="I17" t="inlineStr">
        <is>
          <t>Average hazard</t>
        </is>
      </c>
      <c r="J17">
        <f>VLOOKUP(I17,'Pick List'!J$21:K$24,2,FALSE)</f>
        <v/>
      </c>
    </row>
    <row r="18" ht="42" customHeight="1">
      <c r="A18" s="8" t="inlineStr">
        <is>
          <t>Experience</t>
        </is>
      </c>
      <c r="B18" s="4" t="inlineStr">
        <is>
          <t>No claims, last 5 Years</t>
        </is>
      </c>
      <c r="C18" s="8" t="n">
        <v>3</v>
      </c>
      <c r="H18" s="15" t="inlineStr">
        <is>
          <t>Individual Risk TOTAL</t>
        </is>
      </c>
      <c r="I18" s="15" t="n"/>
      <c r="J18" s="15">
        <f>J11*J12*J13*J14*J15*J16*J17</f>
        <v/>
      </c>
    </row>
    <row r="19">
      <c r="A19" s="7" t="inlineStr">
        <is>
          <t>Risk management</t>
        </is>
      </c>
      <c r="B19" t="inlineStr">
        <is>
          <t>Demonstrated use of favorable contracts</t>
        </is>
      </c>
      <c r="C19" s="7">
        <f>VLOOKUP(B19,'Pick List'!F24:G26,2,FALSE)</f>
        <v/>
      </c>
    </row>
    <row r="20">
      <c r="A20" s="7" t="inlineStr">
        <is>
          <t>Sub-Contracted Work</t>
        </is>
      </c>
      <c r="B20" s="4" t="inlineStr">
        <is>
          <t>Subcontracted Work less than or equal to 25%</t>
        </is>
      </c>
      <c r="C20" s="7">
        <f>VLOOKUP(B20,'Pick List'!F29:G31,2,FALSE)</f>
        <v/>
      </c>
      <c r="H20" t="inlineStr">
        <is>
          <t>NOTE (If State specific feel free to overide cell C12)</t>
        </is>
      </c>
    </row>
    <row r="21">
      <c r="A21" s="7" t="inlineStr">
        <is>
          <t>Retroactive Date</t>
        </is>
      </c>
      <c r="B21" t="inlineStr">
        <is>
          <t>Retro Date Inception</t>
        </is>
      </c>
      <c r="C21" s="7">
        <f>VLOOKUP(B21,'Pick List'!F33:G34,2,FALSE)</f>
        <v/>
      </c>
      <c r="H21" t="inlineStr">
        <is>
          <t>IN DELAWARE MINIMUM IS .75 AND MAX IS 1.5 UNLESS USING E&amp;S PAPER</t>
        </is>
      </c>
    </row>
    <row r="22">
      <c r="A22" s="7" t="inlineStr">
        <is>
          <t xml:space="preserve">Individual Risk </t>
        </is>
      </c>
      <c r="B22" t="inlineStr">
        <is>
          <t>Carrier Multiple</t>
        </is>
      </c>
      <c r="C22" s="9">
        <f>IF(J18&lt;0.5,0.5,IF(J18&gt;1.5,1.5,J18))</f>
        <v/>
      </c>
      <c r="H22" s="96" t="inlineStr">
        <is>
          <t>IN IOWA MAX LIMIT IS +/- 25% for Individual Risk unless using E&amp;S Paper</t>
        </is>
      </c>
    </row>
    <row r="23">
      <c r="A23" s="7" t="n"/>
      <c r="B23" s="7" t="inlineStr">
        <is>
          <t>RATING MULTIPLE</t>
        </is>
      </c>
      <c r="C23" s="7">
        <f>C15*C16*C17*C18*C19*C20*C21*C22</f>
        <v/>
      </c>
      <c r="H23" t="inlineStr">
        <is>
          <t>IN MARYLAND MINIMUM IS .75 AND MAX IS 1.5 UNLESS USING E&amp;S PAPER</t>
        </is>
      </c>
    </row>
    <row r="24">
      <c r="H24" t="inlineStr">
        <is>
          <t>IN MASSACHUSETTES MINIMUM IS .75 AND MAX IS 1.5 UNLESS USING E&amp;S PAPER</t>
        </is>
      </c>
    </row>
    <row r="25">
      <c r="A25" t="inlineStr">
        <is>
          <t>MINIMUM DEDUCTIBLE</t>
        </is>
      </c>
      <c r="B25" s="189">
        <f>VLOOKUP(B16,'Pick List'!A9:C17,3,FALSE)</f>
        <v/>
      </c>
      <c r="C25" s="95" t="inlineStr">
        <is>
          <t>* For Revenue up to $3,000,000 and limits of MAX $1,000,000 a $1,000 Deductible is an option</t>
        </is>
      </c>
      <c r="H25" t="inlineStr">
        <is>
          <t>IN NORTH CAROLINA MINIMUM IS .75 AND MAX IS 1.5 UNLESS USING E&amp;S PAPER</t>
        </is>
      </c>
    </row>
    <row r="26">
      <c r="A26" s="7" t="inlineStr">
        <is>
          <t>DEDUCTIBLE SELECTED</t>
        </is>
      </c>
      <c r="B26" s="189" t="n">
        <v>5000</v>
      </c>
      <c r="H26" t="inlineStr">
        <is>
          <t>IN NORTH DAKOTA MINIMUM IS .75 AND MAX IS 1.5 UNLESS USING E&amp;S PAPER</t>
        </is>
      </c>
    </row>
    <row r="27">
      <c r="B27" s="189" t="n"/>
      <c r="H27" s="96" t="inlineStr">
        <is>
          <t>IN OHIO MAX LIMIT IS +/- 25% for Individual Risk unless using E&amp;S Paper</t>
        </is>
      </c>
    </row>
    <row r="28">
      <c r="A28" s="5" t="inlineStr">
        <is>
          <t>RETRO DATE</t>
        </is>
      </c>
      <c r="B28" s="2" t="n"/>
      <c r="C28" s="22" t="inlineStr">
        <is>
          <t>(Select RDI [retro Date Inception] or a Date</t>
        </is>
      </c>
    </row>
    <row r="31">
      <c r="A31" t="inlineStr">
        <is>
          <t>Limit</t>
        </is>
      </c>
      <c r="B31" s="189" t="n">
        <v>1000000</v>
      </c>
    </row>
    <row r="33">
      <c r="A33" t="inlineStr">
        <is>
          <t>Deductible/Limit/Size</t>
        </is>
      </c>
      <c r="B33">
        <f>VLOOKUP('Pick List'!A41,Concatanate!F1:G315,2,FALSE)</f>
        <v/>
      </c>
    </row>
    <row r="35">
      <c r="C35" t="inlineStr">
        <is>
          <t>Rate</t>
        </is>
      </c>
      <c r="D35" s="94" t="inlineStr">
        <is>
          <t>Description</t>
        </is>
      </c>
    </row>
    <row r="36">
      <c r="A36" t="inlineStr">
        <is>
          <t>Split Limit Option</t>
        </is>
      </c>
      <c r="B36" t="inlineStr">
        <is>
          <t>No Split</t>
        </is>
      </c>
      <c r="C36">
        <f>VLOOKUP(B36,'Pick List'!A44:C51,3,FALSE)</f>
        <v/>
      </c>
      <c r="D36" s="94">
        <f>VLOOKUP(B36,'Pick List'!A44:B51,2,FALSE)</f>
        <v/>
      </c>
    </row>
    <row r="38">
      <c r="A38" t="inlineStr">
        <is>
          <t>FINAL MULIPLIER</t>
        </is>
      </c>
      <c r="B38">
        <f>C36*B33*C23</f>
        <v/>
      </c>
    </row>
    <row r="40">
      <c r="A40" t="inlineStr">
        <is>
          <t>PREMIUM</t>
        </is>
      </c>
      <c r="B40" s="190">
        <f>B38*B13</f>
        <v/>
      </c>
    </row>
    <row r="43">
      <c r="A43" s="22" t="inlineStr">
        <is>
          <t>CLASS</t>
        </is>
      </c>
      <c r="B43" s="22" t="inlineStr">
        <is>
          <t>EXAMPLE</t>
        </is>
      </c>
    </row>
    <row r="44">
      <c r="A44" t="inlineStr">
        <is>
          <t>Class I</t>
        </is>
      </c>
      <c r="B44" t="inlineStr">
        <is>
          <t>Management Consulting, marketing Consulting, Education Consulting, Energy Conservation, Travel Agency, printers, Grant Writing, Interpreting, Translating</t>
        </is>
      </c>
    </row>
    <row r="45">
      <c r="A45" t="inlineStr">
        <is>
          <t>Class II</t>
        </is>
      </c>
      <c r="B45" t="inlineStr">
        <is>
          <t>IT Consulting, Software Development, fullfillment Services, Agricultural Consulting, Event Planning</t>
        </is>
      </c>
    </row>
    <row r="46">
      <c r="A46" t="inlineStr">
        <is>
          <t>Class III</t>
        </is>
      </c>
      <c r="B46" t="inlineStr">
        <is>
          <t>Medical Billing, Utility Billing, Other Billing, Employment Agencies, Staffing Firms, Auctioneer, Technical Energy Consulting, Background Screening, Custom Brokers, Freight Forwarders, Landscape Architects</t>
        </is>
      </c>
    </row>
    <row r="47">
      <c r="A47" t="inlineStr">
        <is>
          <t>Class IV</t>
        </is>
      </c>
      <c r="B47" t="inlineStr">
        <is>
          <t>Surveyors, Franchisor services, Claims Adjusters, archeological consultants, Home Inspection Services, Other Inspection Services, Real Estate Agents, property Management, Construction Management (Non- GCs), Trustees, Receivers</t>
        </is>
      </c>
    </row>
    <row r="48">
      <c r="A48" t="inlineStr">
        <is>
          <t>Class IV</t>
        </is>
      </c>
      <c r="B48" t="inlineStr">
        <is>
          <t>Certification Services, Safety Consultants, TPAs, Real Estate Appraisers, testing Labs, Inspectors with Heaby BI/PD exposure</t>
        </is>
      </c>
    </row>
  </sheetData>
  <mergeCells count="5">
    <mergeCell ref="C25:G26"/>
    <mergeCell ref="D35:G35"/>
    <mergeCell ref="D36:G36"/>
    <mergeCell ref="H22:J22"/>
    <mergeCell ref="H27:J27"/>
  </mergeCells>
  <hyperlinks>
    <hyperlink xmlns:r="http://schemas.openxmlformats.org/officeDocument/2006/relationships" ref="B6" display="www.one80.com" r:id="rId1"/>
    <hyperlink xmlns:r="http://schemas.openxmlformats.org/officeDocument/2006/relationships" ref="B7" r:id="rId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K279"/>
  <sheetViews>
    <sheetView topLeftCell="A6" workbookViewId="0">
      <selection activeCell="A17" sqref="A17:J17"/>
    </sheetView>
  </sheetViews>
  <sheetFormatPr baseColWidth="8" defaultRowHeight="14.5"/>
  <cols>
    <col width="13.1796875" customWidth="1" min="1" max="1"/>
    <col width="10.7265625" bestFit="1" customWidth="1" min="3" max="3"/>
    <col width="22.7265625" customWidth="1" min="10" max="10"/>
    <col width="8.81640625" customWidth="1" min="12" max="12"/>
  </cols>
  <sheetData>
    <row r="1">
      <c r="A1" s="29" t="n"/>
    </row>
    <row r="2">
      <c r="A2" s="30" t="n"/>
    </row>
    <row r="3">
      <c r="A3" s="97" t="n"/>
    </row>
    <row r="4">
      <c r="A4" s="97" t="n"/>
    </row>
    <row r="5">
      <c r="A5" s="97" t="n"/>
    </row>
    <row r="6">
      <c r="A6" s="97" t="inlineStr">
        <is>
          <t>Miscellaneous Professional Liability Program</t>
        </is>
      </c>
      <c r="K6" s="32" t="n"/>
    </row>
    <row r="7">
      <c r="A7" s="98" t="inlineStr">
        <is>
          <t>Old Republic Insurance</t>
        </is>
      </c>
      <c r="K7" s="33" t="n"/>
    </row>
    <row r="8">
      <c r="A8" s="98" t="n"/>
    </row>
    <row r="9">
      <c r="A9" s="97" t="inlineStr">
        <is>
          <t>INSURED:</t>
        </is>
      </c>
      <c r="B9" s="99">
        <f>Rater!B1</f>
        <v/>
      </c>
    </row>
    <row r="10" ht="16.5" customHeight="1">
      <c r="B10" s="100">
        <f>Rater!B2</f>
        <v/>
      </c>
    </row>
    <row r="11">
      <c r="A11" t="inlineStr">
        <is>
          <t xml:space="preserve"> </t>
        </is>
      </c>
      <c r="B11" s="99">
        <f>Rater!B3</f>
        <v/>
      </c>
      <c r="E11" s="97">
        <f>Rater!B4</f>
        <v/>
      </c>
      <c r="F11" s="35">
        <f>Rater!B5</f>
        <v/>
      </c>
    </row>
    <row r="12">
      <c r="A12" t="inlineStr">
        <is>
          <t xml:space="preserve"> </t>
        </is>
      </c>
      <c r="B12" s="97" t="inlineStr">
        <is>
          <t xml:space="preserve"> </t>
        </is>
      </c>
      <c r="C12" s="97" t="n"/>
      <c r="D12" s="97" t="n"/>
      <c r="E12" s="97" t="n"/>
    </row>
    <row r="13" ht="16.5" customHeight="1">
      <c r="A13" s="101" t="inlineStr">
        <is>
          <t>We are pleased to offer the following indication which should be reviewed carefully. This is not a binder of insurance. The following information is a proposal and is to be presented without alteration.</t>
        </is>
      </c>
    </row>
    <row r="14" ht="16.5" customHeight="1"/>
    <row r="16">
      <c r="A16" s="36" t="n"/>
    </row>
    <row r="17">
      <c r="A17" s="104" t="inlineStr">
        <is>
          <t>Real- Estate and CGL</t>
        </is>
      </c>
      <c r="K17" s="37" t="n"/>
    </row>
    <row r="18">
      <c r="A18" s="33" t="n"/>
    </row>
    <row r="19">
      <c r="A19" s="106" t="inlineStr">
        <is>
          <t>COVERAGE:</t>
        </is>
      </c>
      <c r="B19" s="105" t="inlineStr">
        <is>
          <t>Schedule reporting of individual Real Estate Owned/REI locations. Coverage applies to location as reported by the insured on the attached application.</t>
        </is>
      </c>
    </row>
    <row r="20">
      <c r="A20" s="39" t="n"/>
    </row>
    <row r="21" ht="7.5" customHeight="1">
      <c r="A21" s="39" t="n"/>
      <c r="B21" s="105" t="n"/>
      <c r="C21" s="105" t="n"/>
      <c r="D21" s="105" t="n"/>
      <c r="E21" s="105" t="n"/>
      <c r="F21" s="105" t="n"/>
      <c r="G21" s="105" t="n"/>
      <c r="H21" s="105" t="n"/>
      <c r="I21" s="105" t="n"/>
      <c r="J21" s="105" t="n"/>
    </row>
    <row r="22">
      <c r="A22" s="41" t="inlineStr">
        <is>
          <t>EXCLUSIONS:</t>
        </is>
      </c>
      <c r="B22" s="42" t="inlineStr">
        <is>
          <t>REFER TO POLICY FOR ALL OTHER EXCLUSIONS.</t>
        </is>
      </c>
      <c r="C22" s="25" t="n"/>
      <c r="D22" s="25" t="n"/>
      <c r="E22" s="25" t="n"/>
      <c r="F22" s="25" t="n"/>
      <c r="G22" s="25" t="n"/>
      <c r="H22" s="25" t="n"/>
      <c r="I22" s="25" t="n"/>
      <c r="J22" s="25" t="n"/>
    </row>
    <row r="23">
      <c r="A23" s="41" t="n"/>
      <c r="B23" s="25" t="n"/>
      <c r="C23" s="25" t="n"/>
      <c r="D23" s="25" t="n"/>
      <c r="E23" s="25" t="n"/>
      <c r="F23" s="25" t="n"/>
      <c r="G23" s="25" t="n"/>
      <c r="H23" s="25" t="n"/>
      <c r="I23" s="25" t="n"/>
      <c r="J23" s="25" t="n"/>
    </row>
    <row r="24">
      <c r="A24" s="41" t="inlineStr">
        <is>
          <t>TERM:</t>
        </is>
      </c>
      <c r="B24" s="43" t="inlineStr">
        <is>
          <t>12 Months from Effective date of Binder unless otherwise negotiated.</t>
        </is>
      </c>
      <c r="C24" s="25" t="n"/>
      <c r="D24" s="25" t="n"/>
      <c r="E24" s="25" t="n"/>
      <c r="F24" s="25" t="n"/>
      <c r="G24" s="25" t="n"/>
      <c r="H24" s="25" t="n"/>
      <c r="I24" s="25" t="n"/>
      <c r="J24" s="25" t="n"/>
    </row>
    <row r="25">
      <c r="A25" s="39" t="n"/>
      <c r="B25" s="25" t="n"/>
      <c r="C25" s="25" t="n"/>
      <c r="D25" s="25" t="n"/>
      <c r="E25" s="25" t="n"/>
      <c r="F25" s="25" t="n"/>
      <c r="G25" s="25" t="n"/>
      <c r="H25" s="25" t="n"/>
      <c r="I25" s="25" t="n"/>
      <c r="J25" s="25" t="n"/>
    </row>
    <row r="26">
      <c r="A26" s="106" t="inlineStr">
        <is>
          <t>EFFECTIVE DATE:</t>
        </is>
      </c>
      <c r="C26" s="107">
        <f>[1]Input!A17</f>
        <v/>
      </c>
      <c r="F26" s="25" t="n"/>
      <c r="G26" s="25" t="n"/>
      <c r="H26" s="25" t="n"/>
      <c r="I26" s="25" t="n"/>
      <c r="J26" s="25" t="n"/>
    </row>
    <row r="27">
      <c r="A27" s="39" t="n"/>
      <c r="B27" s="25" t="n"/>
      <c r="C27" s="25" t="n"/>
      <c r="D27" s="25" t="n"/>
      <c r="E27" s="25" t="n"/>
      <c r="F27" s="25" t="n"/>
      <c r="G27" s="25" t="n"/>
      <c r="H27" s="25" t="n"/>
      <c r="I27" s="25" t="n"/>
      <c r="J27" s="25" t="n"/>
    </row>
    <row r="28">
      <c r="A28" s="41" t="inlineStr">
        <is>
          <t>AMOUNT OF INSURANCE:</t>
        </is>
      </c>
      <c r="B28" s="25" t="n"/>
      <c r="C28" s="41" t="inlineStr">
        <is>
          <t>Maximum TIV per Certificate: $1,500,000 per Property [Excluding Cov B] - Commercial Property Form</t>
        </is>
      </c>
      <c r="D28" s="25" t="n"/>
      <c r="E28" s="25" t="n"/>
      <c r="F28" s="25" t="n"/>
      <c r="G28" s="25" t="n"/>
      <c r="H28" s="25" t="n"/>
      <c r="I28" s="25" t="n"/>
      <c r="J28" s="25" t="n"/>
    </row>
    <row r="29">
      <c r="A29" s="25" t="n"/>
      <c r="B29" s="25" t="n"/>
      <c r="C29" s="41" t="inlineStr">
        <is>
          <t>Maximum GL per Certificate: $1,000,000 per Occurrence / $2,000,000 Aggregate - Commercial GL</t>
        </is>
      </c>
      <c r="D29" s="25" t="n"/>
      <c r="E29" s="25" t="n"/>
      <c r="F29" s="25" t="n"/>
      <c r="G29" s="25" t="n"/>
      <c r="H29" s="25" t="n"/>
      <c r="I29" s="25" t="n"/>
      <c r="J29" s="25" t="n"/>
    </row>
    <row r="30">
      <c r="A30" s="41" t="inlineStr">
        <is>
          <t>Limits Requested:</t>
        </is>
      </c>
      <c r="B30" s="25" t="n"/>
      <c r="C30" s="25" t="n"/>
      <c r="D30" s="25" t="n"/>
      <c r="E30" s="25" t="n"/>
      <c r="F30" s="25" t="n"/>
      <c r="G30" s="25" t="n"/>
      <c r="H30" s="25" t="n"/>
      <c r="I30" s="25" t="n"/>
      <c r="J30" s="25" t="n"/>
    </row>
    <row r="31">
      <c r="A31" s="25" t="n"/>
      <c r="B31" s="39" t="inlineStr">
        <is>
          <t>Coverage A:</t>
        </is>
      </c>
      <c r="C31" s="191">
        <f>Coverage_A</f>
        <v/>
      </c>
      <c r="D31" s="25" t="n"/>
      <c r="E31" s="25" t="n"/>
      <c r="F31" s="25" t="n"/>
      <c r="G31" s="25" t="n"/>
      <c r="H31" s="25" t="n"/>
      <c r="I31" s="25" t="n"/>
      <c r="J31" s="25" t="n"/>
    </row>
    <row r="32">
      <c r="B32" s="39" t="inlineStr">
        <is>
          <t>Coverage B:</t>
        </is>
      </c>
      <c r="C32" s="191">
        <f>Coverage_B</f>
        <v/>
      </c>
      <c r="D32" s="25" t="n"/>
      <c r="E32" s="25" t="n"/>
      <c r="F32" s="25" t="n"/>
      <c r="G32" s="25" t="n"/>
      <c r="H32" s="25" t="n"/>
      <c r="I32" s="25" t="n"/>
      <c r="J32" s="25" t="n"/>
    </row>
    <row r="33">
      <c r="A33" s="25" t="n"/>
      <c r="B33" s="39" t="inlineStr">
        <is>
          <t>Coverage C:</t>
        </is>
      </c>
      <c r="C33" s="191">
        <f>Coverage_C</f>
        <v/>
      </c>
      <c r="D33" s="25" t="n"/>
      <c r="E33" s="25" t="n"/>
      <c r="F33" s="25" t="n"/>
      <c r="G33" s="25" t="n"/>
      <c r="H33" s="25" t="n"/>
      <c r="I33" s="25" t="n"/>
      <c r="J33" s="25" t="n"/>
    </row>
    <row r="34">
      <c r="A34" s="25" t="n"/>
      <c r="B34" s="39" t="inlineStr">
        <is>
          <t>Coverage D:</t>
        </is>
      </c>
      <c r="C34" s="191">
        <f>Coverage_D</f>
        <v/>
      </c>
      <c r="D34" s="25" t="n"/>
      <c r="E34" s="25" t="n"/>
      <c r="F34" s="25" t="n"/>
      <c r="G34" s="25" t="n"/>
      <c r="H34" s="25" t="n"/>
      <c r="I34" s="25" t="n"/>
      <c r="J34" s="25" t="n"/>
    </row>
    <row r="35">
      <c r="A35" s="25" t="n"/>
      <c r="B35" s="39" t="inlineStr">
        <is>
          <t>Coverage L:</t>
        </is>
      </c>
      <c r="C35" s="191">
        <f>Coverage_Liability</f>
        <v/>
      </c>
      <c r="D35" s="25" t="n"/>
      <c r="E35" s="25" t="n"/>
      <c r="F35" s="25" t="n"/>
      <c r="G35" s="25" t="n"/>
      <c r="H35" s="25" t="n"/>
      <c r="I35" s="25" t="n"/>
      <c r="J35" s="25" t="n"/>
    </row>
    <row r="36">
      <c r="A36" s="25" t="n"/>
      <c r="B36" s="39" t="inlineStr">
        <is>
          <t>Coverage M:</t>
        </is>
      </c>
      <c r="C36" s="191">
        <f>Coverage_Medical</f>
        <v/>
      </c>
      <c r="D36" s="25" t="n"/>
      <c r="E36" s="25" t="n"/>
      <c r="F36" s="25" t="n"/>
      <c r="G36" s="25" t="n"/>
      <c r="H36" s="25" t="n"/>
      <c r="I36" s="25" t="n"/>
      <c r="J36" s="25" t="n"/>
    </row>
    <row r="37">
      <c r="A37" s="39" t="n"/>
      <c r="B37" s="25" t="n"/>
      <c r="C37" s="25" t="n"/>
      <c r="D37" s="25" t="n"/>
      <c r="E37" s="25" t="n"/>
      <c r="F37" s="25" t="n"/>
      <c r="G37" s="25" t="n"/>
      <c r="H37" s="25" t="n"/>
      <c r="I37" s="25" t="n"/>
      <c r="J37" s="25" t="n"/>
    </row>
    <row r="38">
      <c r="A38" s="39" t="inlineStr">
        <is>
          <t>AOP Deductible:</t>
        </is>
      </c>
      <c r="B38" s="39">
        <f>[1]Data!C70</f>
        <v/>
      </c>
      <c r="C38" s="25" t="n"/>
      <c r="D38" s="25" t="n"/>
      <c r="E38" s="25" t="n"/>
      <c r="F38" s="25" t="n"/>
      <c r="G38" s="25" t="n"/>
      <c r="H38" s="25" t="n"/>
      <c r="I38" s="25" t="n"/>
      <c r="J38" s="25" t="n"/>
    </row>
    <row r="39">
      <c r="A39" s="39" t="inlineStr">
        <is>
          <t>Wind Deductible:</t>
        </is>
      </c>
      <c r="B39" s="39">
        <f>[1]Data!C71</f>
        <v/>
      </c>
      <c r="C39" s="25" t="n"/>
      <c r="D39" s="25" t="n"/>
      <c r="E39" s="25" t="n"/>
      <c r="F39" s="25" t="n"/>
      <c r="G39" s="25" t="n"/>
      <c r="H39" s="25" t="n"/>
      <c r="I39" s="25" t="n"/>
      <c r="J39" s="25" t="n"/>
    </row>
    <row r="40">
      <c r="A40" s="39" t="inlineStr">
        <is>
          <t>FLOOD</t>
        </is>
      </c>
      <c r="B40" s="25" t="inlineStr">
        <is>
          <t>Excluded</t>
        </is>
      </c>
      <c r="C40" s="25" t="n"/>
      <c r="D40" s="25" t="n"/>
      <c r="E40" s="25" t="n"/>
      <c r="F40" s="25" t="n"/>
      <c r="G40" s="25" t="n"/>
      <c r="H40" s="25" t="n"/>
      <c r="I40" s="25" t="n"/>
      <c r="J40" s="25" t="n"/>
    </row>
    <row r="41">
      <c r="A41" s="39" t="inlineStr">
        <is>
          <t>QUAKE</t>
        </is>
      </c>
      <c r="B41" s="25" t="inlineStr">
        <is>
          <t>Excluded</t>
        </is>
      </c>
      <c r="C41" s="25" t="n"/>
      <c r="D41" s="25" t="n"/>
      <c r="E41" s="25" t="n"/>
      <c r="F41" s="25" t="n"/>
      <c r="G41" s="25" t="n"/>
      <c r="H41" s="25" t="n"/>
      <c r="I41" s="25" t="n"/>
      <c r="J41" s="25" t="n"/>
    </row>
    <row r="42">
      <c r="A42" s="108" t="inlineStr">
        <is>
          <t>LOSS SETTLEMENT:</t>
        </is>
      </c>
      <c r="C42" s="25" t="inlineStr">
        <is>
          <t>Replacement Cost</t>
        </is>
      </c>
      <c r="D42" s="25" t="n"/>
      <c r="E42" s="25" t="n"/>
      <c r="F42" s="25" t="n"/>
      <c r="G42" s="25" t="n"/>
      <c r="H42" s="25" t="n"/>
      <c r="I42" s="25" t="n"/>
      <c r="J42" s="25" t="n"/>
    </row>
    <row r="43">
      <c r="A43" s="106" t="inlineStr">
        <is>
          <t xml:space="preserve">This policy is written on Excess and Surplus Lines Paper </t>
        </is>
      </c>
    </row>
    <row r="44">
      <c r="A44" s="102" t="inlineStr">
        <is>
          <t>FLAT CANCELLATION IS NOT PERMITTED. PREMIUM AND TAX ARE 25% MINIMUM EARNED UPON REQUEST TO BIND. ALL FEES ARE FULLY EARNED AND NON-REFUNDABLE.</t>
        </is>
      </c>
    </row>
    <row r="45"/>
    <row r="46" ht="16.5" customHeight="1"/>
    <row r="47">
      <c r="A47" s="45" t="n"/>
      <c r="B47" s="46" t="n"/>
    </row>
    <row r="48">
      <c r="A48" s="103" t="inlineStr">
        <is>
          <t>Premium Property:</t>
        </is>
      </c>
      <c r="C48" s="192">
        <f>Premium_Property</f>
        <v/>
      </c>
    </row>
    <row r="49">
      <c r="A49" s="103" t="inlineStr">
        <is>
          <t>Premium Liability:</t>
        </is>
      </c>
      <c r="C49" s="192">
        <f>Premium_Liability</f>
        <v/>
      </c>
    </row>
    <row r="50">
      <c r="A50" s="103" t="inlineStr">
        <is>
          <t>Surplus Lines Tax</t>
        </is>
      </c>
      <c r="C50" s="193">
        <f>[1]Input!AE33</f>
        <v/>
      </c>
      <c r="D50" s="49" t="n"/>
    </row>
    <row r="51">
      <c r="A51" s="103" t="inlineStr">
        <is>
          <t>Stamping Fee:</t>
        </is>
      </c>
      <c r="C51" s="193">
        <f>[1]Input!AE34</f>
        <v/>
      </c>
      <c r="D51" s="49" t="n"/>
    </row>
    <row r="52">
      <c r="A52" s="103" t="inlineStr">
        <is>
          <t>Policy Fee :</t>
        </is>
      </c>
      <c r="C52" s="193">
        <f>[1]Input!AE35</f>
        <v/>
      </c>
      <c r="D52" s="49" t="n"/>
    </row>
    <row r="53">
      <c r="A53" s="103" t="inlineStr">
        <is>
          <t>Inspection Fee :</t>
        </is>
      </c>
      <c r="C53" s="193">
        <f>[1]Input!AE36</f>
        <v/>
      </c>
      <c r="D53" s="49" t="n"/>
    </row>
    <row r="54">
      <c r="A54" s="103" t="inlineStr">
        <is>
          <t>Florida Service Fee:</t>
        </is>
      </c>
      <c r="C54" s="193">
        <f>[1]Input!AE37</f>
        <v/>
      </c>
      <c r="D54" s="49" t="n"/>
    </row>
    <row r="55">
      <c r="A55" s="103" t="inlineStr">
        <is>
          <t>EMPA:</t>
        </is>
      </c>
      <c r="C55" s="193">
        <f>[1]Input!AE38</f>
        <v/>
      </c>
      <c r="D55" s="49" t="n"/>
    </row>
    <row r="56">
      <c r="A56" s="103" t="inlineStr">
        <is>
          <t>Will Comply Fee:</t>
        </is>
      </c>
      <c r="C56" s="193">
        <f>[1]Input!AE39</f>
        <v/>
      </c>
      <c r="D56" s="49" t="n"/>
    </row>
    <row r="57">
      <c r="A57" s="103" t="inlineStr">
        <is>
          <t xml:space="preserve">TOTAL </t>
        </is>
      </c>
      <c r="C57" s="190">
        <f>SUM(C48:C56)</f>
        <v/>
      </c>
    </row>
    <row r="58">
      <c r="A58" s="50" t="inlineStr">
        <is>
          <t>Liability Exclusions:</t>
        </is>
      </c>
    </row>
    <row r="59">
      <c r="A59" s="51" t="inlineStr">
        <is>
          <t>·         Independent Contractor Exclusion</t>
        </is>
      </c>
    </row>
    <row r="60">
      <c r="A60" s="51" t="inlineStr">
        <is>
          <t>·         Professional Liability Exclusion</t>
        </is>
      </c>
    </row>
    <row r="61">
      <c r="A61" s="51" t="inlineStr">
        <is>
          <t>·         Tenants Exclusion</t>
        </is>
      </c>
    </row>
    <row r="62">
      <c r="A62" s="51" t="inlineStr">
        <is>
          <t>·         Asbestos Liability Exclusion</t>
        </is>
      </c>
    </row>
    <row r="63">
      <c r="A63" s="51" t="inlineStr">
        <is>
          <t>·         Communicable Disease Exclusion</t>
        </is>
      </c>
    </row>
    <row r="64">
      <c r="A64" s="51" t="inlineStr">
        <is>
          <t>·         Employment Related Practices Exclusion</t>
        </is>
      </c>
    </row>
    <row r="65">
      <c r="A65" s="51" t="inlineStr">
        <is>
          <t>·         Financial Endeavors Exclusion</t>
        </is>
      </c>
    </row>
    <row r="66">
      <c r="A66" s="51" t="inlineStr">
        <is>
          <t>·         Insured Premises and Operations Endorsement</t>
        </is>
      </c>
    </row>
    <row r="67">
      <c r="A67" s="51" t="inlineStr">
        <is>
          <t>·         Lead-Hazardous Properties Exclusion</t>
        </is>
      </c>
    </row>
    <row r="68">
      <c r="A68" s="51" t="inlineStr">
        <is>
          <t>·         Nuclear Energy Liability Exclusion</t>
        </is>
      </c>
    </row>
    <row r="69">
      <c r="A69" s="51" t="inlineStr">
        <is>
          <t>·         Products Completed Operations Exclusion (add .01 for coverage)</t>
        </is>
      </c>
    </row>
    <row r="70">
      <c r="A70" s="51" t="inlineStr">
        <is>
          <t>·         Punitive Damages Exclusion</t>
        </is>
      </c>
    </row>
    <row r="71">
      <c r="A71" s="51" t="inlineStr">
        <is>
          <t>·         Animal, Reptile, &amp; Insect Excl 5K Dog Bite Ends</t>
        </is>
      </c>
    </row>
    <row r="72">
      <c r="A72" s="51" t="inlineStr">
        <is>
          <t>·         Swimming Pool &amp; Hot Tub Excl Ends</t>
        </is>
      </c>
    </row>
    <row r="73">
      <c r="A73" s="51" t="inlineStr">
        <is>
          <t>·         Trampoline Excl</t>
        </is>
      </c>
    </row>
    <row r="74">
      <c r="A74" s="51" t="inlineStr">
        <is>
          <t>·       Firearm Liability Excl</t>
        </is>
      </c>
    </row>
    <row r="75">
      <c r="A75" s="51" t="inlineStr">
        <is>
          <t>·         Personal &amp; Advertising Injury Excl Ends</t>
        </is>
      </c>
    </row>
    <row r="76">
      <c r="A76" s="52" t="n"/>
    </row>
    <row r="77">
      <c r="A77" s="53" t="inlineStr">
        <is>
          <t>Information Needed to Bind Coverage:</t>
        </is>
      </c>
      <c r="B77" s="54" t="n"/>
      <c r="C77" s="54" t="n"/>
      <c r="D77" s="55" t="n"/>
    </row>
    <row r="78">
      <c r="A78" s="56" t="n">
        <v>1</v>
      </c>
      <c r="B78" t="inlineStr">
        <is>
          <t>Signed and Dated Request to Bind and Application</t>
        </is>
      </c>
    </row>
    <row r="79">
      <c r="B79" s="22" t="inlineStr">
        <is>
          <t>Requested Effective Date:__________________________</t>
        </is>
      </c>
    </row>
    <row r="80">
      <c r="A80" s="56" t="n">
        <v>2</v>
      </c>
      <c r="B80" t="inlineStr">
        <is>
          <t>Signed No Loss Letter or Clue Report (if losses exist)</t>
        </is>
      </c>
    </row>
    <row r="81">
      <c r="A81" s="56" t="n">
        <v>3</v>
      </c>
      <c r="B81" t="inlineStr">
        <is>
          <t>Signed Due Diligence from State</t>
        </is>
      </c>
    </row>
    <row r="82">
      <c r="A82" s="56" t="n">
        <v>4</v>
      </c>
      <c r="B82" t="inlineStr">
        <is>
          <t>Signed Fraud Notice</t>
        </is>
      </c>
    </row>
    <row r="83">
      <c r="A83" s="56" t="n">
        <v>5</v>
      </c>
      <c r="B83" s="22" t="inlineStr">
        <is>
          <t>Payment will be done once invoice is provided</t>
        </is>
      </c>
    </row>
    <row r="84" ht="16.5" customHeight="1">
      <c r="A84" s="56" t="n">
        <v>6</v>
      </c>
      <c r="B84" s="109" t="inlineStr">
        <is>
          <t>Satisfactory Inspection Required within 30 Days of the Effective Date completed by a self-guided web application. _______ Insured's Initials</t>
        </is>
      </c>
    </row>
    <row r="85" ht="16.5" customHeight="1">
      <c r="A85" s="57" t="n"/>
    </row>
    <row r="86">
      <c r="A86" s="97" t="n">
        <v>7</v>
      </c>
      <c r="B86" s="109" t="inlineStr">
        <is>
          <t>Confirm No fuses, knob and tube, or cloth wiring, Zinsco/Sylvania, Federal Pacific, Stab-Lok, Challenger, Bulldog/Pushmatic or electric panel, circuit breakers or any other electrical panel that is consider a fire hazard. ______________  Insured's Initials</t>
        </is>
      </c>
    </row>
    <row r="87" ht="27" customHeight="1">
      <c r="A87" s="58" t="n"/>
    </row>
    <row r="88">
      <c r="A88" s="97" t="n">
        <v>8</v>
      </c>
      <c r="B88" s="109" t="inlineStr">
        <is>
          <t>Please confirm that dwelling is not "Primary Occupied" by the named insured at any 
point in the year_______ Insured’s Initials</t>
        </is>
      </c>
    </row>
    <row r="89">
      <c r="A89" s="58" t="n"/>
    </row>
    <row r="90">
      <c r="A90" s="97" t="n">
        <v>9</v>
      </c>
      <c r="B90" t="inlineStr">
        <is>
          <t>Confirm/Provide the insured's mailing address ___________________________</t>
        </is>
      </c>
    </row>
    <row r="91">
      <c r="A91" s="58" t="n"/>
    </row>
    <row r="92" ht="33.75" customHeight="1">
      <c r="A92" s="102" t="inlineStr">
        <is>
          <t>**If ANY type of electronic signature or stamp is used on any forms, the e-signature certificate must be sent in with the completed application. Please note that effective dates cannot be backdated.**</t>
        </is>
      </c>
    </row>
    <row r="93">
      <c r="A93" s="58" t="n"/>
    </row>
    <row r="94">
      <c r="A94" s="104" t="inlineStr">
        <is>
          <t>Section III: General Policy Terms and Conditions</t>
        </is>
      </c>
    </row>
    <row r="95">
      <c r="A95" s="41" t="n"/>
    </row>
    <row r="96" ht="16.5" customHeight="1">
      <c r="A96" s="59" t="n">
        <v>1</v>
      </c>
      <c r="B96" s="109" t="inlineStr">
        <is>
          <t xml:space="preserve"> Higher limits may require additional risk information. Starstone's reinsurers generally require, to the extent available, the following elements: number of buildings, stories, square footage, construction, occupancy and usage. The Agent will assist you in developing a manageable reporting process. Subject to agreement by the Insurer, higher limits available upon request.</t>
        </is>
      </c>
    </row>
    <row r="97">
      <c r="A97" s="59" t="n"/>
    </row>
    <row r="98">
      <c r="A98" s="59" t="n"/>
    </row>
    <row r="99">
      <c r="A99" s="59" t="n"/>
    </row>
    <row r="100">
      <c r="A100" s="59" t="n"/>
    </row>
    <row r="101">
      <c r="A101" s="59" t="n"/>
      <c r="B101" s="95" t="n"/>
      <c r="C101" s="95" t="n"/>
      <c r="D101" s="95" t="n"/>
      <c r="E101" s="95" t="n"/>
      <c r="F101" s="95" t="n"/>
      <c r="G101" s="95" t="n"/>
      <c r="H101" s="95" t="n"/>
      <c r="I101" s="95" t="n"/>
      <c r="J101" s="95" t="n"/>
    </row>
    <row r="102" ht="15" customHeight="1">
      <c r="A102" s="59" t="n">
        <v>2</v>
      </c>
      <c r="B102" s="109" t="inlineStr">
        <is>
          <t xml:space="preserve"> Residential means one to four family dwellings, five-plex, six-plex, individual condominium rented to others or cooperative apartment units. All other property, including multi-family residential shall be considered Commercial property.</t>
        </is>
      </c>
    </row>
    <row r="103">
      <c r="A103" s="59" t="n"/>
    </row>
    <row r="104">
      <c r="A104" s="59" t="n"/>
    </row>
    <row r="105">
      <c r="A105" s="59" t="n"/>
    </row>
    <row r="106" ht="16.5" customHeight="1">
      <c r="A106" s="59" t="n">
        <v>3</v>
      </c>
      <c r="B106" s="109" t="inlineStr">
        <is>
          <t>Properties which have been declared unfit for use or service or have had an order of demolition issued by a court of competent jurisdiction, or condemned properties are not eligible for subsequent coverage.</t>
        </is>
      </c>
    </row>
    <row r="107">
      <c r="A107" s="59" t="n"/>
    </row>
    <row r="108">
      <c r="A108" s="59" t="n"/>
    </row>
    <row r="109">
      <c r="A109" s="59" t="n"/>
      <c r="B109" s="109" t="n"/>
      <c r="C109" s="109" t="n"/>
      <c r="D109" s="109" t="n"/>
      <c r="E109" s="109" t="n"/>
      <c r="F109" s="109" t="n"/>
      <c r="G109" s="109" t="n"/>
      <c r="H109" s="109" t="n"/>
      <c r="I109" s="109" t="n"/>
      <c r="J109" s="109" t="n"/>
    </row>
    <row r="110">
      <c r="A110" s="59" t="n">
        <v>4</v>
      </c>
      <c r="B110" s="109" t="inlineStr">
        <is>
          <t>The territory of coverage will only consist of the 50 states of United States unless otherwise agreed by the Insurer.</t>
        </is>
      </c>
    </row>
    <row r="111">
      <c r="A111" s="59" t="n"/>
    </row>
    <row r="112">
      <c r="A112" s="59" t="n"/>
    </row>
    <row r="113">
      <c r="A113" s="59" t="n">
        <v>5</v>
      </c>
      <c r="B113" s="119" t="inlineStr">
        <is>
          <t>This summary may not be reflective of all terms and conditions of the Insurer’s policy. Refer to the policy for actual terms and conditions.</t>
        </is>
      </c>
    </row>
    <row r="114">
      <c r="A114" s="59" t="n"/>
    </row>
    <row r="115">
      <c r="A115" s="39" t="n"/>
    </row>
    <row r="116">
      <c r="A116" s="39" t="n"/>
    </row>
    <row r="119">
      <c r="A119" s="120" t="inlineStr">
        <is>
          <t>Insured's Name</t>
        </is>
      </c>
      <c r="G119" s="121" t="inlineStr">
        <is>
          <t>Title</t>
        </is>
      </c>
    </row>
    <row r="120">
      <c r="A120" s="39" t="n"/>
    </row>
    <row r="121">
      <c r="A121" s="39" t="n"/>
    </row>
    <row r="122">
      <c r="A122" s="52" t="n"/>
    </row>
    <row r="123">
      <c r="A123" s="120" t="inlineStr">
        <is>
          <t>Insured's Signature</t>
        </is>
      </c>
      <c r="G123" s="121" t="inlineStr">
        <is>
          <t>Date</t>
        </is>
      </c>
    </row>
    <row r="124">
      <c r="A124" s="52" t="n"/>
    </row>
    <row r="126">
      <c r="A126" s="97" t="n"/>
    </row>
    <row r="127" ht="15" customHeight="1">
      <c r="A127" s="111" t="inlineStr">
        <is>
          <t>APPLICATION</t>
        </is>
      </c>
    </row>
    <row r="128" ht="17.25" customHeight="1" thickBot="1"/>
    <row r="129" ht="15" customHeight="1">
      <c r="A129" s="112" t="inlineStr">
        <is>
          <t>Customer Name:</t>
        </is>
      </c>
      <c r="B129" s="194" t="n"/>
      <c r="C129" s="195" t="n"/>
      <c r="D129" s="113">
        <f>[1]Input!D7</f>
        <v/>
      </c>
      <c r="E129" s="194" t="n"/>
      <c r="F129" s="194" t="n"/>
      <c r="G129" s="195" t="n"/>
    </row>
    <row r="130">
      <c r="A130" s="115" t="inlineStr">
        <is>
          <t>Location Address:</t>
        </is>
      </c>
      <c r="B130" s="196" t="n"/>
      <c r="C130" s="197" t="n"/>
      <c r="D130" s="198">
        <f>[1]Input!O7</f>
        <v/>
      </c>
      <c r="E130" s="196" t="n"/>
      <c r="F130" s="196" t="n"/>
      <c r="G130" s="197" t="n"/>
    </row>
    <row r="131">
      <c r="A131" s="115" t="inlineStr">
        <is>
          <t>Location City:</t>
        </is>
      </c>
      <c r="B131" s="196" t="n"/>
      <c r="C131" s="197" t="n"/>
      <c r="D131" s="198">
        <f>[1]Input!M8</f>
        <v/>
      </c>
      <c r="E131" s="196" t="n"/>
      <c r="F131" s="196" t="n"/>
      <c r="G131" s="197" t="n"/>
    </row>
    <row r="132">
      <c r="A132" s="115" t="inlineStr">
        <is>
          <t>Location County:</t>
        </is>
      </c>
      <c r="B132" s="196" t="n"/>
      <c r="C132" s="197" t="n"/>
      <c r="D132" s="198">
        <f>[1]Input!M9</f>
        <v/>
      </c>
      <c r="E132" s="196" t="n"/>
      <c r="F132" s="196" t="n"/>
      <c r="G132" s="197" t="n"/>
    </row>
    <row r="133">
      <c r="A133" s="115" t="inlineStr">
        <is>
          <t>Location State:</t>
        </is>
      </c>
      <c r="B133" s="196" t="n"/>
      <c r="C133" s="197" t="n"/>
      <c r="D133" s="198">
        <f>[1]Input!S8</f>
        <v/>
      </c>
      <c r="E133" s="196" t="n"/>
      <c r="F133" s="196" t="n"/>
      <c r="G133" s="197" t="n"/>
    </row>
    <row r="134">
      <c r="A134" s="115" t="inlineStr">
        <is>
          <t>Location Zip:</t>
        </is>
      </c>
      <c r="B134" s="196" t="n"/>
      <c r="C134" s="197" t="n"/>
      <c r="D134" s="122">
        <f>[1]Input!U8</f>
        <v/>
      </c>
      <c r="E134" s="196" t="n"/>
      <c r="F134" s="196" t="n"/>
      <c r="G134" s="197" t="n"/>
    </row>
    <row r="135" ht="15" customHeight="1">
      <c r="A135" s="115" t="inlineStr">
        <is>
          <t>Policy Form:</t>
        </is>
      </c>
      <c r="B135" s="196" t="n"/>
      <c r="C135" s="197" t="n"/>
      <c r="D135" s="198" t="inlineStr">
        <is>
          <t>Manuscript Form</t>
        </is>
      </c>
      <c r="E135" s="196" t="n"/>
      <c r="F135" s="196" t="n"/>
      <c r="G135" s="197" t="n"/>
    </row>
    <row r="136" ht="15" customHeight="1">
      <c r="A136" s="115" t="inlineStr">
        <is>
          <t>Loss Settlement:</t>
        </is>
      </c>
      <c r="B136" s="196" t="n"/>
      <c r="C136" s="197" t="n"/>
      <c r="D136" s="198" t="inlineStr">
        <is>
          <t>Replacement Cost</t>
        </is>
      </c>
      <c r="E136" s="196" t="n"/>
      <c r="F136" s="196" t="n"/>
      <c r="G136" s="197" t="n"/>
    </row>
    <row r="137">
      <c r="A137" s="115" t="inlineStr">
        <is>
          <t>Occupancy:</t>
        </is>
      </c>
      <c r="B137" s="196" t="n"/>
      <c r="C137" s="197" t="n"/>
      <c r="D137" s="198">
        <f>[1]Input!I16</f>
        <v/>
      </c>
      <c r="E137" s="196" t="n"/>
      <c r="F137" s="196" t="n"/>
      <c r="G137" s="197" t="n"/>
    </row>
    <row r="138">
      <c r="A138" s="115" t="inlineStr">
        <is>
          <t>Coverage A:</t>
        </is>
      </c>
      <c r="B138" s="196" t="n"/>
      <c r="C138" s="197" t="n"/>
      <c r="D138" s="199">
        <f>[1]Input!C21</f>
        <v/>
      </c>
      <c r="E138" s="196" t="n"/>
      <c r="F138" s="196" t="n"/>
      <c r="G138" s="197" t="n"/>
    </row>
    <row r="139">
      <c r="A139" s="115" t="inlineStr">
        <is>
          <t>Coverage B:</t>
        </is>
      </c>
      <c r="B139" s="196" t="n"/>
      <c r="C139" s="197" t="n"/>
      <c r="D139" s="199">
        <f>[1]Input!C22</f>
        <v/>
      </c>
      <c r="E139" s="196" t="n"/>
      <c r="F139" s="196" t="n"/>
      <c r="G139" s="197" t="n"/>
    </row>
    <row r="140">
      <c r="A140" s="115" t="inlineStr">
        <is>
          <t>Coverage C:</t>
        </is>
      </c>
      <c r="B140" s="196" t="n"/>
      <c r="C140" s="197" t="n"/>
      <c r="D140" s="199">
        <f>[1]Input!C23</f>
        <v/>
      </c>
      <c r="E140" s="196" t="n"/>
      <c r="F140" s="196" t="n"/>
      <c r="G140" s="197" t="n"/>
    </row>
    <row r="141">
      <c r="A141" s="115" t="inlineStr">
        <is>
          <t>Coverage D:</t>
        </is>
      </c>
      <c r="B141" s="196" t="n"/>
      <c r="C141" s="197" t="n"/>
      <c r="D141" s="199">
        <f>[1]Input!C24</f>
        <v/>
      </c>
      <c r="E141" s="196" t="n"/>
      <c r="F141" s="196" t="n"/>
      <c r="G141" s="197" t="n"/>
    </row>
    <row r="142">
      <c r="A142" s="115" t="inlineStr">
        <is>
          <t>Total TIV:</t>
        </is>
      </c>
      <c r="B142" s="196" t="n"/>
      <c r="C142" s="197" t="n"/>
      <c r="D142" s="199">
        <f>[1]Input!C25</f>
        <v/>
      </c>
      <c r="E142" s="196" t="n"/>
      <c r="F142" s="196" t="n"/>
      <c r="G142" s="197" t="n"/>
    </row>
    <row r="143">
      <c r="A143" s="115" t="inlineStr">
        <is>
          <t>Liability Limits:</t>
        </is>
      </c>
      <c r="B143" s="196" t="n"/>
      <c r="C143" s="197" t="n"/>
      <c r="D143" s="198">
        <f>[1]Input!C28</f>
        <v/>
      </c>
      <c r="E143" s="196" t="n"/>
      <c r="F143" s="196" t="n"/>
      <c r="G143" s="197" t="n"/>
    </row>
    <row r="144" ht="27" customHeight="1" thickBot="1">
      <c r="A144" s="135" t="inlineStr">
        <is>
          <t>Medical:</t>
        </is>
      </c>
      <c r="B144" s="200" t="n"/>
      <c r="C144" s="201" t="n"/>
      <c r="D144" s="202">
        <f>[1]Input!C29</f>
        <v/>
      </c>
      <c r="E144" s="200" t="n"/>
      <c r="F144" s="200" t="n"/>
      <c r="G144" s="201" t="n"/>
    </row>
    <row r="145" ht="27" customHeight="1" thickBot="1">
      <c r="A145" s="61" t="n"/>
      <c r="B145" s="61" t="n"/>
      <c r="C145" s="61" t="n"/>
      <c r="D145" s="203" t="n"/>
      <c r="E145" s="203" t="n"/>
      <c r="F145" s="203" t="n"/>
      <c r="G145" s="203" t="n"/>
    </row>
    <row r="146" ht="16.5" customHeight="1" thickBot="1">
      <c r="A146" s="139" t="inlineStr">
        <is>
          <t>KICKOUT OR IMPACT QUESTIONS</t>
        </is>
      </c>
      <c r="B146" s="204" t="n"/>
      <c r="C146" s="204" t="n"/>
      <c r="D146" s="204" t="n"/>
      <c r="E146" s="204" t="n"/>
      <c r="F146" s="204" t="n"/>
      <c r="G146" s="205" t="n"/>
    </row>
    <row r="147" ht="30" customHeight="1">
      <c r="A147" s="142" t="inlineStr">
        <is>
          <t>Is The property’s electric system on a circuit breaker?- A No is a Decline</t>
        </is>
      </c>
      <c r="B147" s="206" t="n"/>
      <c r="C147" s="207" t="n"/>
      <c r="D147" s="144">
        <f>[1]Input!H34</f>
        <v/>
      </c>
      <c r="E147" s="206" t="n"/>
      <c r="F147" s="206" t="n"/>
      <c r="G147" s="207" t="n"/>
    </row>
    <row r="148" ht="31.5" customHeight="1">
      <c r="A148" s="126" t="inlineStr">
        <is>
          <t>Is there Section 8 or Student Housing?  (A yes is a decline)</t>
        </is>
      </c>
      <c r="B148" s="196" t="n"/>
      <c r="C148" s="197" t="n"/>
      <c r="D148" s="128">
        <f>[1]Input!H35</f>
        <v/>
      </c>
      <c r="E148" s="196" t="n"/>
      <c r="F148" s="196" t="n"/>
      <c r="G148" s="197" t="n"/>
    </row>
    <row r="149" ht="30.75" customHeight="1">
      <c r="A149" s="126" t="inlineStr">
        <is>
          <t>Is this a Mobile or Manufactured Home? (A Yes is a Decline)</t>
        </is>
      </c>
      <c r="B149" s="196" t="n"/>
      <c r="C149" s="197" t="n"/>
      <c r="D149" s="128">
        <f>[1]Input!H36</f>
        <v/>
      </c>
      <c r="E149" s="196" t="n"/>
      <c r="F149" s="196" t="n"/>
      <c r="G149" s="197" t="n"/>
    </row>
    <row r="150" ht="67.5" customHeight="1">
      <c r="A150" s="126" t="inlineStr">
        <is>
          <t>Is this property a Long Term Rental (or in CA Long Term Rental, Vacation Home, Secondary Home)? [All Short Term Rentals require a separate liability policy)</t>
        </is>
      </c>
      <c r="B150" s="196" t="n"/>
      <c r="C150" s="197" t="n"/>
      <c r="D150" s="128">
        <f>[1]Input!H37</f>
        <v/>
      </c>
      <c r="E150" s="196" t="n"/>
      <c r="F150" s="196" t="n"/>
      <c r="G150" s="197" t="n"/>
    </row>
    <row r="151" ht="15" customHeight="1" thickBot="1">
      <c r="A151" s="135" t="inlineStr">
        <is>
          <t>Is this a Fix and Flip (rehab)</t>
        </is>
      </c>
      <c r="B151" s="200" t="n"/>
      <c r="C151" s="201" t="n"/>
      <c r="D151" s="134">
        <f>[1]Input!H38</f>
        <v/>
      </c>
      <c r="E151" s="208" t="n"/>
      <c r="F151" s="208" t="n"/>
      <c r="G151" s="209" t="n"/>
    </row>
    <row r="152" ht="15" customHeight="1" thickBot="1">
      <c r="A152" s="63" t="n"/>
      <c r="B152" s="63" t="n"/>
      <c r="C152" s="63" t="n"/>
      <c r="D152" s="63" t="n"/>
    </row>
    <row r="153" ht="15" customHeight="1" thickBot="1">
      <c r="A153" s="146" t="inlineStr">
        <is>
          <t>Year Home Built:</t>
        </is>
      </c>
      <c r="B153" s="194" t="n"/>
      <c r="C153" s="195" t="n"/>
      <c r="D153" s="210">
        <f>Year_Built</f>
        <v/>
      </c>
      <c r="E153" s="194" t="n"/>
      <c r="F153" s="194" t="n"/>
      <c r="G153" s="211" t="n"/>
    </row>
    <row r="154" ht="15.75" customHeight="1" thickBot="1">
      <c r="A154" s="146" t="inlineStr">
        <is>
          <t>Type of Roof:</t>
        </is>
      </c>
      <c r="B154" s="194" t="n"/>
      <c r="C154" s="195" t="n"/>
      <c r="D154" s="212">
        <f>[1]Input!I24</f>
        <v/>
      </c>
      <c r="E154" s="196" t="n"/>
      <c r="F154" s="196" t="n"/>
      <c r="G154" s="213" t="n"/>
    </row>
    <row r="155" ht="15" customHeight="1" thickBot="1">
      <c r="A155" s="146" t="inlineStr">
        <is>
          <t>Year Roof Updated:</t>
        </is>
      </c>
      <c r="B155" s="194" t="n"/>
      <c r="C155" s="195" t="n"/>
      <c r="D155" s="212">
        <f>Property_Update_Roof</f>
        <v/>
      </c>
      <c r="E155" s="196" t="n"/>
      <c r="F155" s="196" t="n"/>
      <c r="G155" s="213" t="n"/>
    </row>
    <row r="156" ht="15" customHeight="1" thickBot="1">
      <c r="A156" s="146" t="inlineStr">
        <is>
          <t>Construction:</t>
        </is>
      </c>
      <c r="B156" s="194" t="n"/>
      <c r="C156" s="195" t="n"/>
      <c r="D156" s="212">
        <f>[1]Input!I20</f>
        <v/>
      </c>
      <c r="E156" s="196" t="n"/>
      <c r="F156" s="196" t="n"/>
      <c r="G156" s="213" t="n"/>
    </row>
    <row r="157" ht="15" customHeight="1" thickBot="1">
      <c r="A157" s="146" t="inlineStr">
        <is>
          <t>Year Electrical Updated:</t>
        </is>
      </c>
      <c r="B157" s="194" t="n"/>
      <c r="C157" s="195" t="n"/>
      <c r="D157" s="214">
        <f>[1]Input!M31</f>
        <v/>
      </c>
      <c r="E157" s="196" t="n"/>
      <c r="F157" s="196" t="n"/>
      <c r="G157" s="213" t="n"/>
    </row>
    <row r="158" ht="15" customHeight="1" thickBot="1">
      <c r="A158" s="146" t="inlineStr">
        <is>
          <t>Year HVAC Updated:</t>
        </is>
      </c>
      <c r="B158" s="194" t="n"/>
      <c r="C158" s="195" t="n"/>
      <c r="D158" s="214">
        <f>[1]Input!O31</f>
        <v/>
      </c>
      <c r="E158" s="196" t="n"/>
      <c r="F158" s="196" t="n"/>
      <c r="G158" s="213" t="n"/>
    </row>
    <row r="159" ht="15" customHeight="1" thickBot="1">
      <c r="A159" s="146" t="inlineStr">
        <is>
          <t>Year Plumbing Updated:</t>
        </is>
      </c>
      <c r="B159" s="194" t="n"/>
      <c r="C159" s="195" t="n"/>
      <c r="D159" s="214">
        <f>[1]Input!K31</f>
        <v/>
      </c>
      <c r="E159" s="196" t="n"/>
      <c r="F159" s="196" t="n"/>
      <c r="G159" s="213" t="n"/>
    </row>
    <row r="160" ht="15" customHeight="1" thickBot="1">
      <c r="A160" s="146" t="inlineStr">
        <is>
          <t>DEDUCTIBLE (AOP):</t>
        </is>
      </c>
      <c r="B160" s="194" t="n"/>
      <c r="C160" s="195" t="n"/>
      <c r="D160" s="215">
        <f>[1]Input!R20</f>
        <v/>
      </c>
      <c r="E160" s="196" t="n"/>
      <c r="F160" s="196" t="n"/>
      <c r="G160" s="213" t="n"/>
    </row>
    <row r="161" ht="15.75" customHeight="1" thickBot="1">
      <c r="A161" s="146" t="inlineStr">
        <is>
          <t>WIND DEDUCTIBLE:</t>
        </is>
      </c>
      <c r="B161" s="194" t="n"/>
      <c r="C161" s="195" t="n"/>
      <c r="D161" s="216">
        <f>[1]Data!C71</f>
        <v/>
      </c>
      <c r="E161" s="200" t="n"/>
      <c r="F161" s="200" t="n"/>
      <c r="G161" s="217" t="n"/>
    </row>
    <row r="162" ht="15.75" customHeight="1">
      <c r="A162" s="64" t="n"/>
    </row>
    <row r="163" ht="15.75" customHeight="1">
      <c r="A163" s="64" t="n"/>
    </row>
    <row r="164" ht="15.75" customHeight="1">
      <c r="A164" s="64" t="n"/>
    </row>
    <row r="166" ht="15" customHeight="1" thickBot="1">
      <c r="A166" s="157" t="inlineStr">
        <is>
          <t>MORTGAGE INFO</t>
        </is>
      </c>
      <c r="B166" s="208" t="n"/>
      <c r="C166" s="208" t="n"/>
      <c r="D166" s="208" t="n"/>
      <c r="E166" s="208" t="n"/>
      <c r="F166" s="208" t="n"/>
      <c r="G166" s="208" t="n"/>
      <c r="H166" s="208" t="n"/>
      <c r="I166" s="208" t="n"/>
    </row>
    <row r="167">
      <c r="A167" s="158" t="inlineStr">
        <is>
          <t>Is there a Mortgage:</t>
        </is>
      </c>
      <c r="B167" s="194" t="n"/>
      <c r="C167" s="195" t="n"/>
      <c r="D167" s="160">
        <f>[1]Input!S34</f>
        <v/>
      </c>
      <c r="E167" s="194" t="n"/>
      <c r="F167" s="194" t="n"/>
      <c r="G167" s="194" t="n"/>
      <c r="H167" s="194" t="n"/>
      <c r="I167" s="195" t="n"/>
    </row>
    <row r="168" ht="25.5" customHeight="1">
      <c r="A168" s="162" t="inlineStr">
        <is>
          <t>Name of First Mortgage Company:</t>
        </is>
      </c>
      <c r="B168" s="196" t="n"/>
      <c r="C168" s="197" t="n"/>
      <c r="D168" s="164">
        <f>IF([1]Input!M35="","",[1]Input!M35)</f>
        <v/>
      </c>
      <c r="E168" s="196" t="n"/>
      <c r="F168" s="196" t="n"/>
      <c r="G168" s="196" t="n"/>
      <c r="H168" s="196" t="n"/>
      <c r="I168" s="197" t="n"/>
    </row>
    <row r="169" ht="24" customHeight="1">
      <c r="A169" s="162" t="inlineStr">
        <is>
          <t>Address:</t>
        </is>
      </c>
      <c r="B169" s="196" t="n"/>
      <c r="C169" s="197" t="n"/>
      <c r="D169" s="164">
        <f>IF([1]Input!M37="","",[1]Input!M37)</f>
        <v/>
      </c>
      <c r="E169" s="196" t="n"/>
      <c r="F169" s="196" t="n"/>
      <c r="G169" s="196" t="n"/>
      <c r="H169" s="196" t="n"/>
      <c r="I169" s="197" t="n"/>
    </row>
    <row r="170" ht="24.75" customHeight="1">
      <c r="A170" s="162" t="inlineStr">
        <is>
          <t>City:</t>
        </is>
      </c>
      <c r="B170" s="196" t="n"/>
      <c r="C170" s="197" t="n"/>
      <c r="D170" s="164">
        <f>IF([1]Input!K38="","",[1]Input!K38)</f>
        <v/>
      </c>
      <c r="E170" s="196" t="n"/>
      <c r="F170" s="196" t="n"/>
      <c r="G170" s="196" t="n"/>
      <c r="H170" s="196" t="n"/>
      <c r="I170" s="197" t="n"/>
    </row>
    <row r="171" ht="24.75" customHeight="1">
      <c r="A171" s="162" t="inlineStr">
        <is>
          <t>State:</t>
        </is>
      </c>
      <c r="B171" s="196" t="n"/>
      <c r="C171" s="197" t="n"/>
      <c r="D171" s="164">
        <f>IF([1]Input!Q38="","",[1]Input!Q38)</f>
        <v/>
      </c>
      <c r="E171" s="196" t="n"/>
      <c r="F171" s="196" t="n"/>
      <c r="G171" s="196" t="n"/>
      <c r="H171" s="196" t="n"/>
      <c r="I171" s="197" t="n"/>
    </row>
    <row r="172">
      <c r="A172" s="162" t="inlineStr">
        <is>
          <t>Zip:</t>
        </is>
      </c>
      <c r="B172" s="196" t="n"/>
      <c r="C172" s="197" t="n"/>
      <c r="D172" s="164">
        <f>IF([1]Input!S38="","",[1]Input!S38)</f>
        <v/>
      </c>
      <c r="E172" s="196" t="n"/>
      <c r="F172" s="196" t="n"/>
      <c r="G172" s="196" t="n"/>
      <c r="H172" s="196" t="n"/>
      <c r="I172" s="197" t="n"/>
    </row>
    <row r="173" ht="26.25" customHeight="1" thickBot="1">
      <c r="A173" s="172" t="inlineStr">
        <is>
          <t>Loan Number:</t>
        </is>
      </c>
      <c r="B173" s="200" t="n"/>
      <c r="C173" s="201" t="n"/>
      <c r="D173" s="174">
        <f>IF([1]Input!M36="","",[1]Input!M36)</f>
        <v/>
      </c>
      <c r="E173" s="200" t="n"/>
      <c r="F173" s="200" t="n"/>
      <c r="G173" s="200" t="n"/>
      <c r="H173" s="200" t="n"/>
      <c r="I173" s="201" t="n"/>
    </row>
    <row r="174">
      <c r="A174" s="64" t="n"/>
    </row>
    <row r="175" ht="15" customHeight="1" thickBot="1">
      <c r="A175" s="157" t="inlineStr">
        <is>
          <t>PROPERTY MANAGER</t>
        </is>
      </c>
      <c r="B175" s="208" t="n"/>
      <c r="C175" s="208" t="n"/>
      <c r="D175" s="208" t="n"/>
      <c r="E175" s="208" t="n"/>
      <c r="F175" s="208" t="n"/>
      <c r="G175" s="208" t="n"/>
      <c r="H175" s="208" t="n"/>
      <c r="I175" s="208" t="n"/>
    </row>
    <row r="176">
      <c r="A176" s="158" t="inlineStr">
        <is>
          <t>Is there a Property Manager:</t>
        </is>
      </c>
      <c r="B176" s="194" t="n"/>
      <c r="C176" s="195" t="n"/>
      <c r="D176" s="160">
        <f>[1]Input!U23</f>
        <v/>
      </c>
      <c r="E176" s="194" t="n"/>
      <c r="F176" s="194" t="n"/>
      <c r="G176" s="194" t="n"/>
      <c r="H176" s="194" t="n"/>
      <c r="I176" s="195" t="n"/>
    </row>
    <row r="177" ht="25.5" customHeight="1">
      <c r="A177" s="162" t="inlineStr">
        <is>
          <t>Name of Property Manager:</t>
        </is>
      </c>
      <c r="B177" s="196" t="n"/>
      <c r="C177" s="197" t="n"/>
      <c r="D177" s="164">
        <f>IF(D$176="No","",[1]Input!O24)</f>
        <v/>
      </c>
      <c r="E177" s="196" t="n"/>
      <c r="F177" s="196" t="n"/>
      <c r="G177" s="196" t="n"/>
      <c r="H177" s="196" t="n"/>
      <c r="I177" s="197" t="n"/>
    </row>
    <row r="178" ht="24" customHeight="1">
      <c r="A178" s="162" t="inlineStr">
        <is>
          <t>Address:</t>
        </is>
      </c>
      <c r="B178" s="196" t="n"/>
      <c r="C178" s="197" t="n"/>
      <c r="D178" s="164">
        <f>IF(D$176="No","",[1]Input!O25)</f>
        <v/>
      </c>
      <c r="E178" s="196" t="n"/>
      <c r="F178" s="196" t="n"/>
      <c r="G178" s="196" t="n"/>
      <c r="H178" s="196" t="n"/>
      <c r="I178" s="197" t="n"/>
    </row>
    <row r="179" ht="24.75" customHeight="1">
      <c r="A179" s="162" t="inlineStr">
        <is>
          <t>City:</t>
        </is>
      </c>
      <c r="B179" s="196" t="n"/>
      <c r="C179" s="197" t="n"/>
      <c r="D179" s="164">
        <f>IF(D$176="No","",[1]Input!M26)</f>
        <v/>
      </c>
      <c r="E179" s="196" t="n"/>
      <c r="F179" s="196" t="n"/>
      <c r="G179" s="196" t="n"/>
      <c r="H179" s="196" t="n"/>
      <c r="I179" s="197" t="n"/>
    </row>
    <row r="180" ht="24.75" customHeight="1">
      <c r="A180" s="162" t="inlineStr">
        <is>
          <t>State:</t>
        </is>
      </c>
      <c r="B180" s="196" t="n"/>
      <c r="C180" s="197" t="n"/>
      <c r="D180" s="164">
        <f>IF(D$176="No","",[1]Input!S26)</f>
        <v/>
      </c>
      <c r="E180" s="196" t="n"/>
      <c r="F180" s="196" t="n"/>
      <c r="G180" s="196" t="n"/>
      <c r="H180" s="196" t="n"/>
      <c r="I180" s="197" t="n"/>
    </row>
    <row r="181">
      <c r="A181" s="162" t="inlineStr">
        <is>
          <t>Zip:</t>
        </is>
      </c>
      <c r="B181" s="196" t="n"/>
      <c r="C181" s="197" t="n"/>
      <c r="D181" s="164">
        <f>IF(D$176="No","",[1]Input!U26)</f>
        <v/>
      </c>
      <c r="E181" s="196" t="n"/>
      <c r="F181" s="196" t="n"/>
      <c r="G181" s="196" t="n"/>
      <c r="H181" s="196" t="n"/>
      <c r="I181" s="197" t="n"/>
    </row>
    <row r="182">
      <c r="A182" s="64" t="n"/>
    </row>
    <row r="183">
      <c r="A183" s="64" t="n"/>
    </row>
    <row r="184">
      <c r="A184" s="64" t="n"/>
    </row>
    <row r="185">
      <c r="A185" s="64" t="n"/>
    </row>
    <row r="186">
      <c r="A186" s="65" t="n"/>
    </row>
    <row r="187">
      <c r="A187" s="65" t="inlineStr">
        <is>
          <t>____________________________________________________________________</t>
        </is>
      </c>
    </row>
    <row r="188">
      <c r="A188" s="66" t="inlineStr">
        <is>
          <t>Insured's Signature &amp; Date</t>
        </is>
      </c>
      <c r="B188" s="22" t="n"/>
    </row>
    <row r="189">
      <c r="A189" s="65" t="n"/>
    </row>
    <row r="190">
      <c r="A190" s="65" t="n"/>
    </row>
    <row r="191">
      <c r="A191" s="65" t="inlineStr">
        <is>
          <t>____________________________________________________________________</t>
        </is>
      </c>
    </row>
    <row r="192">
      <c r="A192" s="66" t="inlineStr">
        <is>
          <t>Agent's Signature &amp; Date</t>
        </is>
      </c>
      <c r="B192" s="67" t="n"/>
      <c r="C192" s="55" t="n"/>
    </row>
    <row r="194" ht="25" customHeight="1">
      <c r="A194" s="68" t="n"/>
    </row>
    <row r="195" ht="25" customHeight="1">
      <c r="A195" s="176" t="inlineStr">
        <is>
          <t>No Loss Letter</t>
        </is>
      </c>
    </row>
    <row r="196">
      <c r="A196" s="69" t="inlineStr">
        <is>
          <t>During the last   ______Three (3)    INITIAL ONE UNLESS THERE HAVE BEEN CLAIMS!</t>
        </is>
      </c>
    </row>
    <row r="197">
      <c r="A197" s="70" t="inlineStr">
        <is>
          <t xml:space="preserve"> </t>
        </is>
      </c>
      <c r="B197" s="71" t="inlineStr">
        <is>
          <t xml:space="preserve">               _____ Five (5)</t>
        </is>
      </c>
    </row>
    <row r="198">
      <c r="A198" s="177" t="inlineStr">
        <is>
          <t xml:space="preserve">years we warrant that with respect to the Rental Dwelling Insurance being applied for: </t>
        </is>
      </c>
    </row>
    <row r="199">
      <c r="A199" s="178" t="inlineStr">
        <is>
          <t xml:space="preserve">              (INITIAL ONE UNLESS THERE HAVE BEEN CLAIMS)</t>
        </is>
      </c>
      <c r="G199" s="177" t="n"/>
      <c r="H199" s="177" t="n"/>
      <c r="I199" s="177" t="n"/>
      <c r="J199" s="177" t="n"/>
    </row>
    <row r="200">
      <c r="A200" s="177" t="n"/>
      <c r="B200" s="177" t="n"/>
      <c r="C200" s="177" t="n"/>
      <c r="D200" s="177" t="n"/>
      <c r="E200" s="177" t="n"/>
      <c r="F200" s="177" t="n"/>
      <c r="G200" s="177" t="n"/>
      <c r="H200" s="177" t="n"/>
      <c r="I200" s="177" t="n"/>
      <c r="J200" s="177" t="n"/>
    </row>
    <row r="201">
      <c r="A201" s="69" t="inlineStr">
        <is>
          <t>[ATTACH CLUE REPORT IF THERE HAVE BEEN CLAIMS]</t>
        </is>
      </c>
    </row>
    <row r="202">
      <c r="A202" s="51" t="inlineStr">
        <is>
          <t>·    I/ we have not sustained a loss</t>
        </is>
      </c>
    </row>
    <row r="203">
      <c r="A203" s="73" t="n"/>
    </row>
    <row r="204">
      <c r="A204" s="51" t="inlineStr">
        <is>
          <t>·    Have not had a claim made against us</t>
        </is>
      </c>
    </row>
    <row r="205">
      <c r="A205" s="73" t="n"/>
    </row>
    <row r="206">
      <c r="A206" s="51" t="inlineStr">
        <is>
          <t>·    Have not been denied coverage for misrepresentation of facts or Insurance Fraud</t>
        </is>
      </c>
    </row>
    <row r="207">
      <c r="A207" s="73" t="n"/>
    </row>
    <row r="208">
      <c r="A208" s="51" t="inlineStr">
        <is>
          <t>·    Have no knowledge or a reason to anticipate a claims or loss.</t>
        </is>
      </c>
    </row>
    <row r="209">
      <c r="A209" s="73" t="n"/>
    </row>
    <row r="210">
      <c r="A210" s="179" t="inlineStr">
        <is>
          <t>If I have owned the home for less than five (5) years, the above warranty applies to my current dwelling and any prior residence up to the three-year period.</t>
        </is>
      </c>
    </row>
    <row r="211"/>
    <row r="212"/>
    <row r="213">
      <c r="A213" s="179" t="n"/>
      <c r="B213" s="179" t="n"/>
      <c r="C213" s="179" t="n"/>
      <c r="D213" s="179" t="n"/>
      <c r="E213" s="179" t="n"/>
      <c r="F213" s="179" t="n"/>
      <c r="G213" s="179" t="n"/>
      <c r="H213" s="179" t="n"/>
      <c r="I213" s="179" t="n"/>
      <c r="J213" s="179" t="n"/>
    </row>
    <row r="214">
      <c r="A214" s="179" t="n"/>
      <c r="B214" s="179" t="n"/>
      <c r="C214" s="179" t="n"/>
      <c r="D214" s="179" t="n"/>
      <c r="E214" s="179" t="n"/>
      <c r="F214" s="179" t="n"/>
      <c r="G214" s="179" t="n"/>
      <c r="H214" s="179" t="n"/>
      <c r="I214" s="179" t="n"/>
      <c r="J214" s="179" t="n"/>
    </row>
    <row r="215">
      <c r="A215" s="75" t="n"/>
    </row>
    <row r="216">
      <c r="A216" s="76" t="inlineStr">
        <is>
          <t>___________________________________________________________________________</t>
        </is>
      </c>
    </row>
    <row r="217">
      <c r="A217" s="181" t="inlineStr">
        <is>
          <t xml:space="preserve">   Printed name of person Signing or Trust/LLC Name</t>
        </is>
      </c>
      <c r="F217" s="67" t="inlineStr">
        <is>
          <t>Date</t>
        </is>
      </c>
    </row>
    <row r="218">
      <c r="A218" s="75" t="n"/>
    </row>
    <row r="219">
      <c r="A219" s="77" t="n"/>
    </row>
    <row r="220">
      <c r="A220" s="77" t="n"/>
    </row>
    <row r="221">
      <c r="A221" s="77" t="n"/>
    </row>
    <row r="222">
      <c r="A222" s="78" t="inlineStr">
        <is>
          <t>____________________________________________________________________________________________</t>
        </is>
      </c>
    </row>
    <row r="223">
      <c r="A223" s="182" t="inlineStr">
        <is>
          <t xml:space="preserve">      Signature of Named Insured, Home Owner or LLC/Trust Manager</t>
        </is>
      </c>
    </row>
    <row r="224">
      <c r="A224" s="79" t="n"/>
    </row>
    <row r="225">
      <c r="A225" s="183" t="inlineStr">
        <is>
          <t>Warranty: The purpose of this no loss letter is to assist in the underwriting process information contained herein is specifically relied upon in determination of insurability. The undersigned, therefore, warrants that the information contained herein is true and accurate to the best of his/her knowledge, information and belief. This no loss letter shall be the basis of any insurance that may be issued and will be a part of such policy. It is understood that any misrepresentation or omission shall constitute grounds for immediate cancellation of coverage and denial of claims, if any. It is further understood that the applicant and or affiliated company is under a continuing obligation to immediately notify his/her underwriter through his/her broker of any material alteration of the information given</t>
        </is>
      </c>
    </row>
    <row r="226"/>
    <row r="227"/>
    <row r="228"/>
    <row r="229"/>
    <row r="230">
      <c r="A230" s="80" t="n"/>
    </row>
    <row r="231" ht="18" customHeight="1">
      <c r="A231" s="184" t="inlineStr">
        <is>
          <t>FRAUD NOTICE</t>
        </is>
      </c>
    </row>
    <row r="232">
      <c r="A232" s="185" t="inlineStr">
        <is>
          <t>To All Prospective Insureds: Any person who knowingly, and with intent to defraud any insurance company or other person, files an application for insurance or statement of claim containing any materially false information, or, for the purpose of misleading, conceals information concerning any fact material thereto, may commit a fraudulent insurance act which is a crime and subjects such person to criminal and civil penalties in many states.</t>
        </is>
      </c>
    </row>
    <row r="233"/>
    <row r="234"/>
    <row r="235"/>
    <row r="236"/>
    <row r="237">
      <c r="A237" s="81" t="n"/>
    </row>
    <row r="238" ht="18" customHeight="1">
      <c r="A238" s="184" t="inlineStr">
        <is>
          <t>To Prospective Insureds In:</t>
        </is>
      </c>
    </row>
    <row r="239" ht="22.5" customHeight="1">
      <c r="A239" s="82" t="n"/>
    </row>
    <row r="240">
      <c r="A240" s="180" t="inlineStr">
        <is>
          <t>Notice to Colorado Applicants: It is unlawful to knowingly provide false, incomplete or misleading facts or information to an insurance company for the purpose of defrauding or attempting to defraud the company.</t>
        </is>
      </c>
    </row>
    <row r="241"/>
    <row r="242"/>
    <row r="243" ht="53.25" customHeight="1">
      <c r="A243" s="180" t="inlineStr">
        <is>
          <t>Notice to District of Columbia and Louisiana Applicants: “Any person who knowingly presents a false or fraudulent claim for payment of a loss or benefit or knowingly presents false information in an application for insurance is guilty of a crime and may be subject to fines and confinement in prison.”</t>
        </is>
      </c>
    </row>
    <row r="244" ht="43.5" customHeight="1">
      <c r="A244" s="180" t="inlineStr">
        <is>
          <t>Notice to Florida Applicants: Any person who knowingly and with intent to injure, defraud, or deceive any insurer files a statement of claim or an application containing any false, incomplete, or misleading information is guilty of a felony of the third degree.</t>
        </is>
      </c>
    </row>
    <row r="245" ht="33.75" customHeight="1">
      <c r="A245" s="180" t="inlineStr">
        <is>
          <t>Notice to Oklahoma Applicants: Any person who knowingly, and with intent to injure, defraud or deceive any insurer, files a statement of claim containing any false, incomplete or misleading information is guilty of a felony.</t>
        </is>
      </c>
    </row>
    <row r="246" ht="101.25" customHeight="1">
      <c r="A246" s="180" t="inlineStr">
        <is>
          <t>Notice to Kansas Applicants: An act committed by any person who, knowingly and with intent to defraud, presents, causes to be presented or prepares with knowledge or belief that it will be presented to or by an insurer, purported insurer, broker or any agent thereof, any written statement as part of, or in support of, an application for the issuance of, or the rating of an insurance policy for personal or commercial insurance, or a claim for payment or other benefit pursuant to an insurance policy for commercial or personal insurance which such person knows to contain materially false information concerning any fact material thereto; or conceals, for the purpose of misleading, information concerning any fact material thereto.</t>
        </is>
      </c>
    </row>
    <row r="247" ht="39" customHeight="1">
      <c r="A247" s="180" t="inlineStr">
        <is>
          <t>Notice to Maine, Tennessee, Virginia and Washington Applications: It is a crime to knowingly provide false, incomplete or misleading information to an insurance company for the purpose of defrauding the company. Penalties may include imprisonment, fines and/or denial of insurance benefits.</t>
        </is>
      </c>
    </row>
    <row r="248" ht="46.5" customHeight="1">
      <c r="A248" s="180" t="inlineStr">
        <is>
          <t>Notice to Maryland Applicants: Any person who knowingly or willfully presents a false or fraudulent claim for payment of a loss or benefit or who knowingly or willfully presents false information in an application for insurance is guilty of a crime and may be subject to fines and confinement in prison.</t>
        </is>
      </c>
    </row>
    <row r="249" ht="36.75" customHeight="1">
      <c r="A249" s="180" t="inlineStr">
        <is>
          <t>Notice to New Hampshire Applicants: Any person who, with a purpose to injure, defraud or deceive an insurance company, files a statement of claim containing any false, incomplete or misleading information is subject to prosecution and punishment for insurance fraud as provided in RSA 638:20.</t>
        </is>
      </c>
    </row>
    <row r="250" ht="72.75" customHeight="1">
      <c r="A250" s="187" t="inlineStr">
        <is>
          <t xml:space="preserve">Notice to New York Applicants: Any person who knowingly and with intent to defraud any insurance company or other person files an application for insurance or statement of claim containing any materially false information, or conceals for the purpose of misleading, a crime, and shall also be subject to a civil penalty not to exceed $5,000 and the stated value of the claim for each such violation.information concerning any fact material thereto, commits a fraudulent insurance act, which is </t>
        </is>
      </c>
    </row>
    <row r="251" ht="55.5" customHeight="1">
      <c r="A251" s="180" t="inlineStr">
        <is>
          <t>Notice to Pennsylvania Applicants: Any person who knowingly and with intent to defraud any insurance company or other person files an application for insurance or statement of claim containing any materially false information or conceals for purposes of misleading, information concerning any fact material thereto commits a fraudulent insurance act, which is a crime and subjects such person to criminal and civil penalties.</t>
        </is>
      </c>
    </row>
    <row r="252">
      <c r="A252" s="185" t="n"/>
    </row>
    <row r="253">
      <c r="A253" s="185" t="n"/>
    </row>
    <row r="254" ht="15" customHeight="1">
      <c r="A254" s="180" t="inlineStr">
        <is>
          <t>I have read the foregoing and agree that it is true and complete to the best of my knowledge and that this policy, if issued and all renewals thereof are to be issued in reliance upon this information, unless a change in information is supplied to me. I understand that signing this application does not bind me to accept this insurance nor does it bind the company to issue a policy to me.</t>
        </is>
      </c>
    </row>
    <row r="255"/>
    <row r="256"/>
    <row r="257"/>
    <row r="258"/>
    <row r="259"/>
    <row r="260" ht="15" customHeight="1">
      <c r="A260" s="180" t="inlineStr">
        <is>
          <t>The Insurer is hereby authorized, but not required, to make any investigation and inquiry in connection with the information, statements and disclosures provided in this Application. The decision of the Insurer not to make or to limit any investigation or inquiry shall not be deemed a waiver of any rights by the Insurer and shall not estop the Insurer from relying on any statement in this Application in the event the Policy is issued. It is agreed that this Application shall be the basis of the contract should a policy be issued and it will be attached and become a part of the Policy.</t>
        </is>
      </c>
    </row>
    <row r="261"/>
    <row r="262"/>
    <row r="263"/>
    <row r="264"/>
    <row r="265"/>
    <row r="266"/>
    <row r="267">
      <c r="A267" s="185" t="n"/>
      <c r="B267" s="185" t="n"/>
    </row>
    <row r="268">
      <c r="A268" s="186" t="inlineStr">
        <is>
          <t>INSURANCE CANNOT BE CONSIDERED FOR BINDING UNLESS THIS APPLICATION IS SIGNED BY THE APPLICANT:</t>
        </is>
      </c>
    </row>
    <row r="270">
      <c r="A270" s="84" t="n"/>
      <c r="B270" s="185" t="n"/>
    </row>
    <row r="271">
      <c r="A271" s="84" t="n"/>
      <c r="B271" s="185" t="n"/>
    </row>
    <row r="273">
      <c r="A273" s="85" t="inlineStr">
        <is>
          <t xml:space="preserve">X </t>
        </is>
      </c>
      <c r="B273" t="inlineStr">
        <is>
          <t>_______________________________________</t>
        </is>
      </c>
      <c r="H273" t="inlineStr">
        <is>
          <t>________</t>
        </is>
      </c>
    </row>
    <row r="274">
      <c r="B274" s="67" t="inlineStr">
        <is>
          <t>Insured's Signature</t>
        </is>
      </c>
      <c r="H274" s="55" t="inlineStr">
        <is>
          <t>Date</t>
        </is>
      </c>
    </row>
    <row r="275">
      <c r="A275" s="84" t="n"/>
      <c r="B275" s="185" t="n"/>
    </row>
    <row r="276">
      <c r="A276" s="84" t="n"/>
      <c r="B276" s="185" t="n"/>
    </row>
    <row r="278">
      <c r="A278" s="85" t="inlineStr">
        <is>
          <t xml:space="preserve">X </t>
        </is>
      </c>
      <c r="B278" t="inlineStr">
        <is>
          <t>_______________________________________</t>
        </is>
      </c>
      <c r="H278" t="inlineStr">
        <is>
          <t>________</t>
        </is>
      </c>
    </row>
    <row r="279">
      <c r="B279" s="67" t="inlineStr">
        <is>
          <t>Agent/Broker Signature</t>
        </is>
      </c>
      <c r="H279" s="55" t="inlineStr">
        <is>
          <t>Date</t>
        </is>
      </c>
    </row>
  </sheetData>
  <mergeCells count="152">
    <mergeCell ref="D170:I170"/>
    <mergeCell ref="B11:D11"/>
    <mergeCell ref="B102:J104"/>
    <mergeCell ref="A51:B51"/>
    <mergeCell ref="A210:J212"/>
    <mergeCell ref="D130:G130"/>
    <mergeCell ref="A136:C136"/>
    <mergeCell ref="A43:J43"/>
    <mergeCell ref="A179:C179"/>
    <mergeCell ref="D132:G132"/>
    <mergeCell ref="A54:B54"/>
    <mergeCell ref="A181:C181"/>
    <mergeCell ref="A56:B56"/>
    <mergeCell ref="A156:C156"/>
    <mergeCell ref="A171:C171"/>
    <mergeCell ref="D155:G155"/>
    <mergeCell ref="D173:I173"/>
    <mergeCell ref="D149:G149"/>
    <mergeCell ref="D158:G158"/>
    <mergeCell ref="A155:C155"/>
    <mergeCell ref="A6:J6"/>
    <mergeCell ref="A42:B42"/>
    <mergeCell ref="A173:C173"/>
    <mergeCell ref="A130:C130"/>
    <mergeCell ref="G123:H123"/>
    <mergeCell ref="D151:G151"/>
    <mergeCell ref="A148:C148"/>
    <mergeCell ref="B88:J89"/>
    <mergeCell ref="D160:G160"/>
    <mergeCell ref="A253:B253"/>
    <mergeCell ref="A157:C157"/>
    <mergeCell ref="A53:B53"/>
    <mergeCell ref="D141:G141"/>
    <mergeCell ref="D136:G136"/>
    <mergeCell ref="A246:J246"/>
    <mergeCell ref="D150:G150"/>
    <mergeCell ref="A138:C138"/>
    <mergeCell ref="A238:J238"/>
    <mergeCell ref="A198:J198"/>
    <mergeCell ref="A132:C132"/>
    <mergeCell ref="B19:J20"/>
    <mergeCell ref="B106:J108"/>
    <mergeCell ref="D134:G134"/>
    <mergeCell ref="A248:J248"/>
    <mergeCell ref="A48:B48"/>
    <mergeCell ref="A133:C133"/>
    <mergeCell ref="A119:E119"/>
    <mergeCell ref="A160:C160"/>
    <mergeCell ref="D148:G148"/>
    <mergeCell ref="B110:J111"/>
    <mergeCell ref="A159:C159"/>
    <mergeCell ref="D138:G138"/>
    <mergeCell ref="D177:I177"/>
    <mergeCell ref="A147:C147"/>
    <mergeCell ref="A161:C161"/>
    <mergeCell ref="D131:G131"/>
    <mergeCell ref="A26:B26"/>
    <mergeCell ref="A199:F199"/>
    <mergeCell ref="A170:C170"/>
    <mergeCell ref="D140:G140"/>
    <mergeCell ref="A250:J250"/>
    <mergeCell ref="B10:F10"/>
    <mergeCell ref="A7:J7"/>
    <mergeCell ref="A243:J243"/>
    <mergeCell ref="A225:J229"/>
    <mergeCell ref="B9:F9"/>
    <mergeCell ref="D178:I178"/>
    <mergeCell ref="A166:I166"/>
    <mergeCell ref="D172:I172"/>
    <mergeCell ref="A52:B52"/>
    <mergeCell ref="D135:G135"/>
    <mergeCell ref="C26:E26"/>
    <mergeCell ref="A172:C172"/>
    <mergeCell ref="A49:B49"/>
    <mergeCell ref="D161:G161"/>
    <mergeCell ref="D179:I179"/>
    <mergeCell ref="A149:C149"/>
    <mergeCell ref="A158:C158"/>
    <mergeCell ref="B96:J100"/>
    <mergeCell ref="A123:E123"/>
    <mergeCell ref="D142:G142"/>
    <mergeCell ref="A240:J242"/>
    <mergeCell ref="B113:J114"/>
    <mergeCell ref="D129:G129"/>
    <mergeCell ref="A175:I175"/>
    <mergeCell ref="A151:C151"/>
    <mergeCell ref="A44:J46"/>
    <mergeCell ref="D168:I168"/>
    <mergeCell ref="A249:J249"/>
    <mergeCell ref="D144:G144"/>
    <mergeCell ref="A141:C141"/>
    <mergeCell ref="A127:J127"/>
    <mergeCell ref="D153:G153"/>
    <mergeCell ref="D180:I180"/>
    <mergeCell ref="A150:C150"/>
    <mergeCell ref="A135:C135"/>
    <mergeCell ref="A144:C144"/>
    <mergeCell ref="D167:I167"/>
    <mergeCell ref="D176:I176"/>
    <mergeCell ref="A55:B55"/>
    <mergeCell ref="A134:C134"/>
    <mergeCell ref="B86:J87"/>
    <mergeCell ref="A146:G146"/>
    <mergeCell ref="A57:B57"/>
    <mergeCell ref="D169:I169"/>
    <mergeCell ref="D139:G139"/>
    <mergeCell ref="A167:C167"/>
    <mergeCell ref="A13:J14"/>
    <mergeCell ref="A232:J236"/>
    <mergeCell ref="A254:J259"/>
    <mergeCell ref="A176:C176"/>
    <mergeCell ref="A268:J268"/>
    <mergeCell ref="A169:C169"/>
    <mergeCell ref="A178:C178"/>
    <mergeCell ref="A153:C153"/>
    <mergeCell ref="A195:J195"/>
    <mergeCell ref="A251:J251"/>
    <mergeCell ref="A137:C137"/>
    <mergeCell ref="A177:C177"/>
    <mergeCell ref="A17:J17"/>
    <mergeCell ref="A244:J244"/>
    <mergeCell ref="D143:G143"/>
    <mergeCell ref="D157:G157"/>
    <mergeCell ref="A231:J231"/>
    <mergeCell ref="A139:C139"/>
    <mergeCell ref="A223:I223"/>
    <mergeCell ref="A154:C154"/>
    <mergeCell ref="D133:G133"/>
    <mergeCell ref="D171:I171"/>
    <mergeCell ref="A129:C129"/>
    <mergeCell ref="A252:B252"/>
    <mergeCell ref="D181:I181"/>
    <mergeCell ref="A245:J245"/>
    <mergeCell ref="A92:J92"/>
    <mergeCell ref="A217:E217"/>
    <mergeCell ref="A131:C131"/>
    <mergeCell ref="A140:C140"/>
    <mergeCell ref="A180:C180"/>
    <mergeCell ref="D159:G159"/>
    <mergeCell ref="A50:B50"/>
    <mergeCell ref="A94:J94"/>
    <mergeCell ref="A143:C143"/>
    <mergeCell ref="A260:J266"/>
    <mergeCell ref="D154:G154"/>
    <mergeCell ref="A142:C142"/>
    <mergeCell ref="A168:C168"/>
    <mergeCell ref="G119:H119"/>
    <mergeCell ref="D147:G147"/>
    <mergeCell ref="B84:J85"/>
    <mergeCell ref="D156:G156"/>
    <mergeCell ref="A247:J247"/>
    <mergeCell ref="D137:G13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54"/>
  <sheetViews>
    <sheetView workbookViewId="0">
      <selection activeCell="E11" sqref="E11"/>
    </sheetView>
  </sheetViews>
  <sheetFormatPr baseColWidth="8" defaultRowHeight="14.5"/>
  <cols>
    <col width="22.81640625" bestFit="1" customWidth="1" min="1" max="1"/>
    <col width="66.54296875" bestFit="1" customWidth="1" min="6" max="6"/>
    <col width="29.81640625" bestFit="1" customWidth="1" min="10" max="10"/>
  </cols>
  <sheetData>
    <row r="1">
      <c r="A1" t="inlineStr">
        <is>
          <t>CLASS</t>
        </is>
      </c>
      <c r="B1" t="inlineStr">
        <is>
          <t>RATE</t>
        </is>
      </c>
      <c r="C1" t="inlineStr">
        <is>
          <t>Examples</t>
        </is>
      </c>
      <c r="P1" t="inlineStr">
        <is>
          <t>State</t>
        </is>
      </c>
    </row>
    <row r="2">
      <c r="A2" t="inlineStr">
        <is>
          <t>Class I</t>
        </is>
      </c>
      <c r="B2" t="n">
        <v>1</v>
      </c>
      <c r="C2" t="inlineStr">
        <is>
          <t>Management Consulting, marketing Consulting, Education Consulting, Energy Conservation, Travel Agency, printers, Grant Writing, Interpreting, Translating</t>
        </is>
      </c>
      <c r="P2" s="27" t="inlineStr">
        <is>
          <t>AK</t>
        </is>
      </c>
    </row>
    <row r="3">
      <c r="A3" t="inlineStr">
        <is>
          <t>Class II</t>
        </is>
      </c>
      <c r="B3" t="n">
        <v>1.5</v>
      </c>
      <c r="C3" t="inlineStr">
        <is>
          <t>IT Consulting, Software Development, fullfillment Services, Agricultural Consulting, Event Planning</t>
        </is>
      </c>
      <c r="P3" s="27" t="inlineStr">
        <is>
          <t>AL</t>
        </is>
      </c>
    </row>
    <row r="4">
      <c r="A4" t="inlineStr">
        <is>
          <t>Class III</t>
        </is>
      </c>
      <c r="B4" t="n">
        <v>2</v>
      </c>
      <c r="C4" t="inlineStr">
        <is>
          <t>Medical Billing, Utility Billing, Other Billing, Employment Agencies, Staffing Firms, Auctioneer, Technical Energy Consulting, Background Screening, Custom Brokers, Freight Forwarders, Landscape Architects</t>
        </is>
      </c>
      <c r="P4" s="96" t="inlineStr">
        <is>
          <t>AR</t>
        </is>
      </c>
    </row>
    <row r="5">
      <c r="A5" t="inlineStr">
        <is>
          <t>Class IV</t>
        </is>
      </c>
      <c r="B5" t="n">
        <v>3</v>
      </c>
      <c r="C5" t="inlineStr">
        <is>
          <t>Surveyors, Franchisor services, Claims Adjusters, archeological consultants, Home Inspection Services, Other Inspection Services, Real Estate Agents, property Management, Construction Management (Non- GCs), Trustees, Receivers</t>
        </is>
      </c>
      <c r="P5" s="96" t="inlineStr">
        <is>
          <t>AZ</t>
        </is>
      </c>
    </row>
    <row r="6">
      <c r="A6" t="inlineStr">
        <is>
          <t>Class IV</t>
        </is>
      </c>
      <c r="B6" t="inlineStr">
        <is>
          <t>REFER</t>
        </is>
      </c>
      <c r="C6" t="inlineStr">
        <is>
          <t>Certification Services, Safety Consultants, TPAs, Real Estate Appraisers, testing Labs, Inspectors with Heaby BI/PD exposure</t>
        </is>
      </c>
      <c r="P6" s="96" t="inlineStr">
        <is>
          <t>CA</t>
        </is>
      </c>
    </row>
    <row r="7">
      <c r="P7" s="96" t="inlineStr">
        <is>
          <t>CO</t>
        </is>
      </c>
    </row>
    <row r="8">
      <c r="P8" s="96" t="inlineStr">
        <is>
          <t>CT</t>
        </is>
      </c>
    </row>
    <row r="9">
      <c r="A9" s="188" t="inlineStr">
        <is>
          <t>$0-$250,000</t>
        </is>
      </c>
      <c r="B9" t="n">
        <v>1</v>
      </c>
      <c r="C9" t="n">
        <v>2500</v>
      </c>
      <c r="F9" s="188" t="inlineStr">
        <is>
          <t>No claims, last 5 Years</t>
        </is>
      </c>
      <c r="G9" t="n">
        <v>1</v>
      </c>
      <c r="P9" s="96" t="inlineStr">
        <is>
          <t>DC</t>
        </is>
      </c>
    </row>
    <row r="10">
      <c r="A10" s="188" t="inlineStr">
        <is>
          <t>$250,001-$500,000</t>
        </is>
      </c>
      <c r="B10" t="n">
        <v>1.3</v>
      </c>
      <c r="C10" t="n">
        <v>2500</v>
      </c>
      <c r="F10" s="188" t="inlineStr">
        <is>
          <t>1 claim withing retention, last 5 years</t>
        </is>
      </c>
      <c r="G10" t="n">
        <v>1.25</v>
      </c>
      <c r="P10" s="96" t="inlineStr">
        <is>
          <t>DE</t>
        </is>
      </c>
    </row>
    <row r="11">
      <c r="A11" s="188" t="inlineStr">
        <is>
          <t>$500,001-$1,000,000</t>
        </is>
      </c>
      <c r="B11" t="n">
        <v>1.6</v>
      </c>
      <c r="C11" t="n">
        <v>5000</v>
      </c>
      <c r="F11" s="188" t="inlineStr">
        <is>
          <t>1 claim above retention, less than $50,000 last 5 years</t>
        </is>
      </c>
      <c r="G11" t="n">
        <v>1.5</v>
      </c>
      <c r="P11" s="96" t="inlineStr">
        <is>
          <t>FL</t>
        </is>
      </c>
    </row>
    <row r="12">
      <c r="A12" s="188" t="inlineStr">
        <is>
          <t>$1,000,001-$3,000,000</t>
        </is>
      </c>
      <c r="B12" t="n">
        <v>2</v>
      </c>
      <c r="C12" t="n">
        <v>5000</v>
      </c>
      <c r="F12" s="188" t="inlineStr">
        <is>
          <t>1 claim above $50,000 and less than $100,000 last 5 years</t>
        </is>
      </c>
      <c r="G12" t="n">
        <v>2</v>
      </c>
      <c r="P12" s="96" t="inlineStr">
        <is>
          <t>GA</t>
        </is>
      </c>
    </row>
    <row r="13">
      <c r="A13" s="188" t="inlineStr">
        <is>
          <t>$3,000,001-$6,000,000</t>
        </is>
      </c>
      <c r="B13" t="n">
        <v>3</v>
      </c>
      <c r="C13" t="n">
        <v>10000</v>
      </c>
      <c r="F13" s="188" t="inlineStr">
        <is>
          <t>1 claim $100,000 or more, last 5 years</t>
        </is>
      </c>
      <c r="G13" t="n">
        <v>3</v>
      </c>
      <c r="P13" s="96" t="inlineStr">
        <is>
          <t>HI</t>
        </is>
      </c>
    </row>
    <row r="14">
      <c r="A14" s="188" t="inlineStr">
        <is>
          <t>$6,000,001-$10,000,000</t>
        </is>
      </c>
      <c r="B14" t="n">
        <v>4</v>
      </c>
      <c r="C14" t="n">
        <v>10000</v>
      </c>
      <c r="F14" s="188" t="inlineStr">
        <is>
          <t>2 claims within retention, last 5 years</t>
        </is>
      </c>
      <c r="G14" t="n">
        <v>1.5</v>
      </c>
      <c r="P14" s="96" t="inlineStr">
        <is>
          <t>IA</t>
        </is>
      </c>
    </row>
    <row r="15">
      <c r="A15" s="188" t="inlineStr">
        <is>
          <t>$10,000,001-$20,000,000</t>
        </is>
      </c>
      <c r="B15" t="n">
        <v>5</v>
      </c>
      <c r="C15" t="n">
        <v>25000</v>
      </c>
      <c r="F15" s="188" t="inlineStr">
        <is>
          <t>2 or more claims, one or more above retention, less than $50,000, last 5 years</t>
        </is>
      </c>
      <c r="G15" t="n">
        <v>2</v>
      </c>
      <c r="P15" s="96" t="inlineStr">
        <is>
          <t>ID</t>
        </is>
      </c>
    </row>
    <row r="16">
      <c r="A16" s="188" t="inlineStr">
        <is>
          <t>$20,000,001-$40,000,000</t>
        </is>
      </c>
      <c r="B16" t="n">
        <v>6</v>
      </c>
      <c r="C16" t="n">
        <v>25000</v>
      </c>
      <c r="F16" s="188" t="inlineStr">
        <is>
          <t>2 or more claims, one or more above $50,000, last 5 years</t>
        </is>
      </c>
      <c r="G16" t="n">
        <v>3</v>
      </c>
      <c r="P16" s="96" t="inlineStr">
        <is>
          <t>IL</t>
        </is>
      </c>
    </row>
    <row r="17">
      <c r="A17" s="188" t="inlineStr">
        <is>
          <t>$40,000,001-$60,000,000</t>
        </is>
      </c>
      <c r="B17" t="n">
        <v>7</v>
      </c>
      <c r="C17" t="n">
        <v>25000</v>
      </c>
      <c r="P17" s="96" t="inlineStr">
        <is>
          <t>IN</t>
        </is>
      </c>
    </row>
    <row r="18">
      <c r="P18" s="96" t="inlineStr">
        <is>
          <t>KS</t>
        </is>
      </c>
    </row>
    <row r="19">
      <c r="A19" s="188" t="inlineStr">
        <is>
          <t>10 Years or more in Business</t>
        </is>
      </c>
      <c r="B19" t="n">
        <v>0.9</v>
      </c>
      <c r="P19" s="96" t="inlineStr">
        <is>
          <t>KY</t>
        </is>
      </c>
    </row>
    <row r="20">
      <c r="A20" s="188" t="inlineStr">
        <is>
          <t>5-10 Years in Business</t>
        </is>
      </c>
      <c r="B20" t="n">
        <v>1</v>
      </c>
      <c r="P20" s="96" t="inlineStr">
        <is>
          <t>LA</t>
        </is>
      </c>
    </row>
    <row r="21">
      <c r="A21" s="188" t="inlineStr">
        <is>
          <t>Less than 5 years in Business</t>
        </is>
      </c>
      <c r="B21" t="n">
        <v>1.1</v>
      </c>
      <c r="J21" t="inlineStr">
        <is>
          <t>Below Average Hazard</t>
        </is>
      </c>
      <c r="K21" t="n">
        <v>0.75</v>
      </c>
      <c r="P21" s="96" t="inlineStr">
        <is>
          <t>MA</t>
        </is>
      </c>
    </row>
    <row r="22">
      <c r="J22" t="inlineStr">
        <is>
          <t>Average hazard</t>
        </is>
      </c>
      <c r="K22" t="n">
        <v>1</v>
      </c>
      <c r="P22" s="96" t="inlineStr">
        <is>
          <t xml:space="preserve">MD </t>
        </is>
      </c>
    </row>
    <row r="23">
      <c r="J23" t="inlineStr">
        <is>
          <t>Above Average Hazard</t>
        </is>
      </c>
      <c r="K23" t="n">
        <v>1.25</v>
      </c>
      <c r="P23" s="96" t="inlineStr">
        <is>
          <t>ME</t>
        </is>
      </c>
    </row>
    <row r="24">
      <c r="A24" s="188" t="n"/>
      <c r="F24" s="188" t="inlineStr">
        <is>
          <t>Demonstrated use of favorable contracts</t>
        </is>
      </c>
      <c r="G24" t="n">
        <v>0.9</v>
      </c>
      <c r="J24" t="inlineStr">
        <is>
          <t>Significantly Above Average Hazard</t>
        </is>
      </c>
      <c r="K24" t="n">
        <v>1.5</v>
      </c>
      <c r="P24" s="96" t="inlineStr">
        <is>
          <t>MI</t>
        </is>
      </c>
    </row>
    <row r="25">
      <c r="F25" t="inlineStr">
        <is>
          <t>Adequate use of contracts</t>
        </is>
      </c>
      <c r="G25" t="n">
        <v>1</v>
      </c>
      <c r="P25" s="96" t="inlineStr">
        <is>
          <t>MN</t>
        </is>
      </c>
    </row>
    <row r="26">
      <c r="A26" s="189" t="n">
        <v>500000</v>
      </c>
      <c r="F26" t="inlineStr">
        <is>
          <t>Less than adequate contract policies</t>
        </is>
      </c>
      <c r="G26" t="n">
        <v>1.1</v>
      </c>
      <c r="P26" s="96" t="inlineStr">
        <is>
          <t>MO</t>
        </is>
      </c>
    </row>
    <row r="27">
      <c r="A27" s="189" t="n">
        <v>1000000</v>
      </c>
      <c r="P27" s="96" t="inlineStr">
        <is>
          <t>MS</t>
        </is>
      </c>
    </row>
    <row r="28">
      <c r="A28" s="189" t="n">
        <v>2000000</v>
      </c>
      <c r="P28" s="96" t="inlineStr">
        <is>
          <t>MT</t>
        </is>
      </c>
    </row>
    <row r="29">
      <c r="A29" s="189" t="n">
        <v>3000000</v>
      </c>
      <c r="F29" t="inlineStr">
        <is>
          <t>Subcontracted Work less than or equal to 25%</t>
        </is>
      </c>
      <c r="G29" t="n">
        <v>1</v>
      </c>
      <c r="P29" s="96" t="inlineStr">
        <is>
          <t xml:space="preserve">NC </t>
        </is>
      </c>
    </row>
    <row r="30">
      <c r="A30" s="189" t="n">
        <v>5000000</v>
      </c>
      <c r="F30" t="inlineStr">
        <is>
          <t>Subcontracted Work greater than 25% and less than 50%</t>
        </is>
      </c>
      <c r="G30" t="n">
        <v>1.2</v>
      </c>
      <c r="P30" s="96" t="inlineStr">
        <is>
          <t>ND</t>
        </is>
      </c>
    </row>
    <row r="31">
      <c r="F31" t="inlineStr">
        <is>
          <t>Subcontracted Work more than 50%</t>
        </is>
      </c>
      <c r="G31" t="n">
        <v>1.3</v>
      </c>
      <c r="P31" s="96" t="inlineStr">
        <is>
          <t>NE</t>
        </is>
      </c>
    </row>
    <row r="32">
      <c r="P32" s="96" t="inlineStr">
        <is>
          <t>NH</t>
        </is>
      </c>
    </row>
    <row r="33">
      <c r="A33" s="189" t="n">
        <v>1000</v>
      </c>
      <c r="F33" t="inlineStr">
        <is>
          <t>Retro Date Inception</t>
        </is>
      </c>
      <c r="G33" t="n">
        <v>0.9</v>
      </c>
      <c r="P33" s="96" t="inlineStr">
        <is>
          <t xml:space="preserve">NJ </t>
        </is>
      </c>
    </row>
    <row r="34">
      <c r="A34" s="189" t="n">
        <v>2500</v>
      </c>
      <c r="F34" t="inlineStr">
        <is>
          <t>One Year or More Prior Acts</t>
        </is>
      </c>
      <c r="G34" t="n">
        <v>1</v>
      </c>
      <c r="P34" s="96" t="inlineStr">
        <is>
          <t>NM</t>
        </is>
      </c>
    </row>
    <row r="35">
      <c r="A35" s="189" t="n">
        <v>5000</v>
      </c>
      <c r="P35" s="96" t="inlineStr">
        <is>
          <t>NV</t>
        </is>
      </c>
    </row>
    <row r="36">
      <c r="A36" s="189" t="n">
        <v>10000</v>
      </c>
      <c r="P36" s="96" t="inlineStr">
        <is>
          <t>NY</t>
        </is>
      </c>
    </row>
    <row r="37">
      <c r="A37" s="189" t="n">
        <v>25000</v>
      </c>
      <c r="P37" s="96" t="inlineStr">
        <is>
          <t>OH</t>
        </is>
      </c>
    </row>
    <row r="38">
      <c r="A38" s="189" t="n">
        <v>50000</v>
      </c>
      <c r="P38" s="96" t="inlineStr">
        <is>
          <t>OK</t>
        </is>
      </c>
    </row>
    <row r="39">
      <c r="A39" s="189" t="n">
        <v>100000</v>
      </c>
      <c r="P39" s="96" t="inlineStr">
        <is>
          <t>OR</t>
        </is>
      </c>
    </row>
    <row r="40">
      <c r="A40" s="6" t="n"/>
      <c r="P40" s="96" t="inlineStr">
        <is>
          <t>PA</t>
        </is>
      </c>
    </row>
    <row r="41">
      <c r="A41" s="20">
        <f>CONCATENATE(Rater!B16,Rater!B26,Rater!B31)</f>
        <v/>
      </c>
      <c r="F41" s="188" t="inlineStr">
        <is>
          <t>$0-$250,000</t>
        </is>
      </c>
      <c r="G41" t="n">
        <v>1000</v>
      </c>
      <c r="P41" s="96" t="inlineStr">
        <is>
          <t xml:space="preserve">RI </t>
        </is>
      </c>
    </row>
    <row r="42">
      <c r="F42" s="188" t="inlineStr">
        <is>
          <t>$0-$250,000</t>
        </is>
      </c>
      <c r="G42" t="n">
        <v>2500</v>
      </c>
      <c r="P42" s="96" t="inlineStr">
        <is>
          <t>SC</t>
        </is>
      </c>
    </row>
    <row r="43">
      <c r="F43" s="188" t="inlineStr">
        <is>
          <t>$0-$250,000</t>
        </is>
      </c>
      <c r="P43" s="96" t="inlineStr">
        <is>
          <t>SD</t>
        </is>
      </c>
    </row>
    <row r="44">
      <c r="A44" t="inlineStr">
        <is>
          <t>No Split</t>
        </is>
      </c>
      <c r="B44" t="inlineStr">
        <is>
          <t>Single Limit as shown in Cell B21</t>
        </is>
      </c>
      <c r="C44" t="n">
        <v>1</v>
      </c>
      <c r="F44" s="188" t="inlineStr">
        <is>
          <t>$0-$250,000</t>
        </is>
      </c>
      <c r="P44" s="96" t="inlineStr">
        <is>
          <t>TN</t>
        </is>
      </c>
    </row>
    <row r="45">
      <c r="A45" t="inlineStr">
        <is>
          <t>500k/1M</t>
        </is>
      </c>
      <c r="B45" t="inlineStr">
        <is>
          <t>Use 1M Limit in Cell B21</t>
        </is>
      </c>
      <c r="C45" t="n">
        <v>0.9</v>
      </c>
      <c r="F45" s="188" t="inlineStr">
        <is>
          <t>$0-$250,000</t>
        </is>
      </c>
      <c r="P45" s="96" t="inlineStr">
        <is>
          <t>TX</t>
        </is>
      </c>
    </row>
    <row r="46">
      <c r="A46" t="inlineStr">
        <is>
          <t>1M/2M</t>
        </is>
      </c>
      <c r="B46" t="inlineStr">
        <is>
          <t>Use 1M Limit in Cell B21</t>
        </is>
      </c>
      <c r="C46" t="n">
        <v>1.22</v>
      </c>
      <c r="F46" s="188" t="inlineStr">
        <is>
          <t>$0-$250,000</t>
        </is>
      </c>
      <c r="P46" s="96" t="inlineStr">
        <is>
          <t>UT</t>
        </is>
      </c>
    </row>
    <row r="47">
      <c r="A47" t="inlineStr">
        <is>
          <t>1M/3M</t>
        </is>
      </c>
      <c r="B47" t="inlineStr">
        <is>
          <t>Use 1M Limit in Cell B21</t>
        </is>
      </c>
      <c r="C47" t="n">
        <v>1.4</v>
      </c>
      <c r="F47" s="188" t="inlineStr">
        <is>
          <t>$250,001-$500,000</t>
        </is>
      </c>
      <c r="P47" s="96" t="inlineStr">
        <is>
          <t>VA</t>
        </is>
      </c>
    </row>
    <row r="48">
      <c r="A48" t="inlineStr">
        <is>
          <t>1M/5M</t>
        </is>
      </c>
      <c r="B48" t="inlineStr">
        <is>
          <t>Use 1M Limit in Cell B21</t>
        </is>
      </c>
      <c r="C48" t="n">
        <v>1.7</v>
      </c>
      <c r="F48" s="188" t="inlineStr">
        <is>
          <t>$500,001-$1,000,000</t>
        </is>
      </c>
      <c r="P48" s="96" t="inlineStr">
        <is>
          <t>VT</t>
        </is>
      </c>
    </row>
    <row r="49">
      <c r="A49" t="inlineStr">
        <is>
          <t>2M/3M</t>
        </is>
      </c>
      <c r="B49" t="inlineStr">
        <is>
          <t>Use 2M Limit in Cell B21</t>
        </is>
      </c>
      <c r="C49" t="n">
        <v>1.16</v>
      </c>
      <c r="F49" s="188" t="inlineStr">
        <is>
          <t>$1,000,001-$3,000,000</t>
        </is>
      </c>
      <c r="P49" s="96" t="inlineStr">
        <is>
          <t>WA</t>
        </is>
      </c>
    </row>
    <row r="50">
      <c r="A50" t="inlineStr">
        <is>
          <t>2M/5M</t>
        </is>
      </c>
      <c r="B50" t="inlineStr">
        <is>
          <t>Use 2M Limit in Cell B21</t>
        </is>
      </c>
      <c r="C50" t="n">
        <v>1.38</v>
      </c>
      <c r="F50" s="188" t="inlineStr">
        <is>
          <t>$3,000,001-$6,000,000</t>
        </is>
      </c>
      <c r="P50" s="96" t="inlineStr">
        <is>
          <t>WI</t>
        </is>
      </c>
    </row>
    <row r="51">
      <c r="A51" t="inlineStr">
        <is>
          <t>3M/5M</t>
        </is>
      </c>
      <c r="B51" t="inlineStr">
        <is>
          <t>Use 3M Limit in Cell B21</t>
        </is>
      </c>
      <c r="C51" t="n">
        <v>1.19</v>
      </c>
      <c r="F51" s="188" t="inlineStr">
        <is>
          <t>$6,000,001-$10,000,000</t>
        </is>
      </c>
      <c r="P51" s="96" t="inlineStr">
        <is>
          <t>WV</t>
        </is>
      </c>
    </row>
    <row r="52">
      <c r="F52" s="188" t="inlineStr">
        <is>
          <t>$10,000,001-$20,000,000</t>
        </is>
      </c>
      <c r="P52" s="96" t="inlineStr">
        <is>
          <t>WY</t>
        </is>
      </c>
    </row>
    <row r="53">
      <c r="F53" s="188" t="inlineStr">
        <is>
          <t>$20,000,001-$40,000,000</t>
        </is>
      </c>
    </row>
    <row r="54">
      <c r="F54" s="188" t="inlineStr">
        <is>
          <t>$40,000,001-$60,000,000</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15"/>
  <sheetViews>
    <sheetView topLeftCell="A178" workbookViewId="0">
      <selection activeCell="D225" sqref="D225"/>
    </sheetView>
  </sheetViews>
  <sheetFormatPr baseColWidth="8" defaultRowHeight="14.5"/>
  <cols>
    <col width="22.81640625" bestFit="1" customWidth="1" min="1" max="1"/>
    <col width="35.1796875" bestFit="1" customWidth="1" min="6" max="6"/>
  </cols>
  <sheetData>
    <row r="1">
      <c r="A1" s="218" t="inlineStr">
        <is>
          <t>$0-$250,000</t>
        </is>
      </c>
      <c r="B1" s="7" t="n">
        <v>1000</v>
      </c>
      <c r="C1" s="7" t="n">
        <v>500000</v>
      </c>
      <c r="D1" t="n">
        <v>0.85</v>
      </c>
      <c r="F1">
        <f>CONCATENATE(A1,B1,C1)</f>
        <v/>
      </c>
      <c r="G1" t="n">
        <v>0.85</v>
      </c>
    </row>
    <row r="2">
      <c r="A2" s="218" t="inlineStr">
        <is>
          <t>$0-$250,000</t>
        </is>
      </c>
      <c r="B2" s="7" t="n">
        <v>1000</v>
      </c>
      <c r="C2" s="7" t="n">
        <v>1000000</v>
      </c>
      <c r="D2" t="n">
        <v>1.1</v>
      </c>
      <c r="F2">
        <f>CONCATENATE(A2,B2,C2)</f>
        <v/>
      </c>
      <c r="G2" t="n">
        <v>1.1</v>
      </c>
    </row>
    <row r="3">
      <c r="A3" s="218" t="inlineStr">
        <is>
          <t>$0-$250,000</t>
        </is>
      </c>
      <c r="B3" s="7" t="n">
        <v>1000</v>
      </c>
      <c r="C3" s="7" t="n">
        <v>2000000</v>
      </c>
      <c r="D3" t="n">
        <v>99</v>
      </c>
      <c r="F3">
        <f>CONCATENATE(A3,B3,C3)</f>
        <v/>
      </c>
      <c r="G3" t="n">
        <v>99</v>
      </c>
    </row>
    <row r="4">
      <c r="A4" s="218" t="inlineStr">
        <is>
          <t>$0-$250,000</t>
        </is>
      </c>
      <c r="B4" s="7" t="n">
        <v>1000</v>
      </c>
      <c r="C4" s="7" t="n">
        <v>3000000</v>
      </c>
      <c r="D4" t="n">
        <v>99</v>
      </c>
      <c r="F4">
        <f>CONCATENATE(A4,B4,C4)</f>
        <v/>
      </c>
      <c r="G4" t="n">
        <v>99</v>
      </c>
    </row>
    <row r="5">
      <c r="A5" s="218" t="inlineStr">
        <is>
          <t>$0-$250,000</t>
        </is>
      </c>
      <c r="B5" s="7" t="n">
        <v>1000</v>
      </c>
      <c r="C5" s="7" t="n">
        <v>5000000</v>
      </c>
      <c r="D5" t="n">
        <v>99</v>
      </c>
      <c r="F5">
        <f>CONCATENATE(A5,B5,C5)</f>
        <v/>
      </c>
      <c r="G5" t="n">
        <v>99</v>
      </c>
      <c r="I5" s="188" t="n"/>
    </row>
    <row r="6">
      <c r="A6" s="218" t="inlineStr">
        <is>
          <t>$0-$250,000</t>
        </is>
      </c>
      <c r="B6" s="7" t="n">
        <v>2500</v>
      </c>
      <c r="C6" s="7" t="n">
        <v>500000</v>
      </c>
      <c r="D6" t="n">
        <v>0.8</v>
      </c>
      <c r="F6">
        <f>CONCATENATE(A6,B6,C6)</f>
        <v/>
      </c>
      <c r="G6" t="n">
        <v>0.8</v>
      </c>
    </row>
    <row r="7">
      <c r="A7" s="218" t="inlineStr">
        <is>
          <t>$0-$250,000</t>
        </is>
      </c>
      <c r="B7" s="7" t="n">
        <v>2500</v>
      </c>
      <c r="C7" s="7" t="n">
        <v>1000000</v>
      </c>
      <c r="D7" t="n">
        <v>1.05</v>
      </c>
      <c r="F7">
        <f>CONCATENATE(A7,B7,C7)</f>
        <v/>
      </c>
      <c r="G7" t="n">
        <v>1.05</v>
      </c>
    </row>
    <row r="8">
      <c r="A8" s="218" t="inlineStr">
        <is>
          <t>$0-$250,000</t>
        </is>
      </c>
      <c r="B8" s="7" t="n">
        <v>2500</v>
      </c>
      <c r="C8" s="7" t="n">
        <v>2000000</v>
      </c>
      <c r="D8" t="n">
        <v>1.57</v>
      </c>
      <c r="F8">
        <f>CONCATENATE(A8,B8,C8)</f>
        <v/>
      </c>
      <c r="G8" t="n">
        <v>1.57</v>
      </c>
    </row>
    <row r="9">
      <c r="A9" s="218" t="inlineStr">
        <is>
          <t>$0-$250,000</t>
        </is>
      </c>
      <c r="B9" s="7" t="n">
        <v>2500</v>
      </c>
      <c r="C9" s="7" t="n">
        <v>3000000</v>
      </c>
      <c r="D9" t="n">
        <v>2</v>
      </c>
      <c r="F9">
        <f>CONCATENATE(A9,B9,C9)</f>
        <v/>
      </c>
      <c r="G9" t="n">
        <v>2</v>
      </c>
    </row>
    <row r="10">
      <c r="A10" s="218" t="inlineStr">
        <is>
          <t>$0-$250,000</t>
        </is>
      </c>
      <c r="B10" s="7" t="n">
        <v>2500</v>
      </c>
      <c r="C10" s="7" t="n">
        <v>5000000</v>
      </c>
      <c r="D10" t="n">
        <v>2.5</v>
      </c>
      <c r="F10">
        <f>CONCATENATE(A10,B10,C10)</f>
        <v/>
      </c>
      <c r="G10" t="n">
        <v>2.5</v>
      </c>
    </row>
    <row r="11">
      <c r="A11" s="218" t="inlineStr">
        <is>
          <t>$0-$250,000</t>
        </is>
      </c>
      <c r="B11" s="7" t="n">
        <v>5000</v>
      </c>
      <c r="C11" s="7" t="n">
        <v>500000</v>
      </c>
      <c r="D11" t="n">
        <v>0.76</v>
      </c>
      <c r="F11">
        <f>CONCATENATE(A11,B11,C11)</f>
        <v/>
      </c>
      <c r="G11" t="n">
        <v>0.76</v>
      </c>
    </row>
    <row r="12">
      <c r="A12" s="218" t="inlineStr">
        <is>
          <t>$0-$250,000</t>
        </is>
      </c>
      <c r="B12" s="7" t="n">
        <v>5000</v>
      </c>
      <c r="C12" s="7" t="n">
        <v>1000000</v>
      </c>
      <c r="D12" t="n">
        <v>1</v>
      </c>
      <c r="F12">
        <f>CONCATENATE(A12,B12,C12)</f>
        <v/>
      </c>
      <c r="G12" t="n">
        <v>1</v>
      </c>
    </row>
    <row r="13">
      <c r="A13" s="218" t="inlineStr">
        <is>
          <t>$0-$250,000</t>
        </is>
      </c>
      <c r="B13" s="7" t="n">
        <v>5000</v>
      </c>
      <c r="C13" s="7" t="n">
        <v>2000000</v>
      </c>
      <c r="D13" t="n">
        <v>1.5</v>
      </c>
      <c r="F13">
        <f>CONCATENATE(A13,B13,C13)</f>
        <v/>
      </c>
      <c r="G13" t="n">
        <v>1.5</v>
      </c>
    </row>
    <row r="14">
      <c r="A14" s="218" t="inlineStr">
        <is>
          <t>$0-$250,000</t>
        </is>
      </c>
      <c r="B14" s="7" t="n">
        <v>5000</v>
      </c>
      <c r="C14" s="7" t="n">
        <v>3000000</v>
      </c>
      <c r="D14" t="n">
        <v>1.94</v>
      </c>
      <c r="F14">
        <f>CONCATENATE(A14,B14,C14)</f>
        <v/>
      </c>
      <c r="G14" t="n">
        <v>1.94</v>
      </c>
    </row>
    <row r="15">
      <c r="A15" s="218" t="inlineStr">
        <is>
          <t>$0-$250,000</t>
        </is>
      </c>
      <c r="B15" s="7" t="n">
        <v>5000</v>
      </c>
      <c r="C15" s="7" t="n">
        <v>5000000</v>
      </c>
      <c r="D15" t="n">
        <v>2.43</v>
      </c>
      <c r="F15">
        <f>CONCATENATE(A15,B15,C15)</f>
        <v/>
      </c>
      <c r="G15" t="n">
        <v>2.43</v>
      </c>
    </row>
    <row r="16">
      <c r="A16" s="218" t="inlineStr">
        <is>
          <t>$0-$250,000</t>
        </is>
      </c>
      <c r="B16" s="7" t="n">
        <v>10000</v>
      </c>
      <c r="C16" s="7" t="n">
        <v>500000</v>
      </c>
      <c r="D16" t="n">
        <v>0.73</v>
      </c>
      <c r="F16">
        <f>CONCATENATE(A16,B16,C16)</f>
        <v/>
      </c>
      <c r="G16" t="n">
        <v>0.73</v>
      </c>
    </row>
    <row r="17">
      <c r="A17" s="218" t="inlineStr">
        <is>
          <t>$0-$250,000</t>
        </is>
      </c>
      <c r="B17" s="7" t="n">
        <v>10000</v>
      </c>
      <c r="C17" s="7" t="n">
        <v>1000000</v>
      </c>
      <c r="D17" t="n">
        <v>0.96</v>
      </c>
      <c r="F17">
        <f>CONCATENATE(A17,B17,C17)</f>
        <v/>
      </c>
      <c r="G17" t="n">
        <v>0.96</v>
      </c>
    </row>
    <row r="18">
      <c r="A18" s="218" t="inlineStr">
        <is>
          <t>$0-$250,000</t>
        </is>
      </c>
      <c r="B18" s="7" t="n">
        <v>10000</v>
      </c>
      <c r="C18" s="7" t="n">
        <v>2000000</v>
      </c>
      <c r="D18" t="n">
        <v>1.46</v>
      </c>
      <c r="F18">
        <f>CONCATENATE(A18,B18,C18)</f>
        <v/>
      </c>
      <c r="G18" t="n">
        <v>1.46</v>
      </c>
    </row>
    <row r="19">
      <c r="A19" s="218" t="inlineStr">
        <is>
          <t>$0-$250,000</t>
        </is>
      </c>
      <c r="B19" s="7" t="n">
        <v>10000</v>
      </c>
      <c r="C19" s="7" t="n">
        <v>3000000</v>
      </c>
      <c r="D19" t="n">
        <v>1.9</v>
      </c>
      <c r="F19">
        <f>CONCATENATE(A19,B19,C19)</f>
        <v/>
      </c>
      <c r="G19" t="n">
        <v>1.9</v>
      </c>
    </row>
    <row r="20">
      <c r="A20" s="218" t="inlineStr">
        <is>
          <t>$0-$250,000</t>
        </is>
      </c>
      <c r="B20" s="7" t="n">
        <v>10000</v>
      </c>
      <c r="C20" s="7" t="n">
        <v>5000000</v>
      </c>
      <c r="D20" t="n">
        <v>2.4</v>
      </c>
      <c r="F20">
        <f>CONCATENATE(A20,B20,C20)</f>
        <v/>
      </c>
      <c r="G20" t="n">
        <v>2.4</v>
      </c>
    </row>
    <row r="21">
      <c r="A21" s="218" t="inlineStr">
        <is>
          <t>$0-$250,000</t>
        </is>
      </c>
      <c r="B21" s="7" t="n">
        <v>25000</v>
      </c>
      <c r="C21" s="7" t="n">
        <v>500000</v>
      </c>
      <c r="D21" t="n">
        <v>0.7</v>
      </c>
      <c r="F21">
        <f>CONCATENATE(A21,B21,C21)</f>
        <v/>
      </c>
      <c r="G21" t="n">
        <v>0.7</v>
      </c>
    </row>
    <row r="22">
      <c r="A22" s="218" t="inlineStr">
        <is>
          <t>$0-$250,000</t>
        </is>
      </c>
      <c r="B22" s="7" t="n">
        <v>25000</v>
      </c>
      <c r="C22" s="7" t="n">
        <v>1000000</v>
      </c>
      <c r="D22" t="n">
        <v>0.9</v>
      </c>
      <c r="F22">
        <f>CONCATENATE(A22,B22,C22)</f>
        <v/>
      </c>
      <c r="G22" t="n">
        <v>0.9</v>
      </c>
    </row>
    <row r="23">
      <c r="A23" s="218" t="inlineStr">
        <is>
          <t>$0-$250,000</t>
        </is>
      </c>
      <c r="B23" s="7" t="n">
        <v>25000</v>
      </c>
      <c r="C23" s="7" t="n">
        <v>2000000</v>
      </c>
      <c r="D23" t="n">
        <v>1.42</v>
      </c>
      <c r="F23">
        <f>CONCATENATE(A23,B23,C23)</f>
        <v/>
      </c>
      <c r="G23" t="n">
        <v>1.42</v>
      </c>
    </row>
    <row r="24">
      <c r="A24" s="218" t="inlineStr">
        <is>
          <t>$0-$250,000</t>
        </is>
      </c>
      <c r="B24" s="7" t="n">
        <v>25000</v>
      </c>
      <c r="C24" s="7" t="n">
        <v>3000000</v>
      </c>
      <c r="D24" t="n">
        <v>1.86</v>
      </c>
      <c r="F24">
        <f>CONCATENATE(A24,B24,C24)</f>
        <v/>
      </c>
      <c r="G24" t="n">
        <v>1.86</v>
      </c>
    </row>
    <row r="25">
      <c r="A25" s="218" t="inlineStr">
        <is>
          <t>$0-$250,000</t>
        </is>
      </c>
      <c r="B25" s="7" t="n">
        <v>25000</v>
      </c>
      <c r="C25" s="7" t="n">
        <v>5000000</v>
      </c>
      <c r="D25" t="n">
        <v>2.36</v>
      </c>
      <c r="F25">
        <f>CONCATENATE(A25,B25,C25)</f>
        <v/>
      </c>
      <c r="G25" t="n">
        <v>2.36</v>
      </c>
    </row>
    <row r="26">
      <c r="A26" s="218" t="inlineStr">
        <is>
          <t>$0-$250,000</t>
        </is>
      </c>
      <c r="B26" s="7" t="n">
        <v>50000</v>
      </c>
      <c r="C26" s="7" t="n">
        <v>500000</v>
      </c>
      <c r="D26" t="n">
        <v>0.65</v>
      </c>
      <c r="F26">
        <f>CONCATENATE(A26,B26,C26)</f>
        <v/>
      </c>
      <c r="G26" t="n">
        <v>0.65</v>
      </c>
    </row>
    <row r="27">
      <c r="A27" s="218" t="inlineStr">
        <is>
          <t>$0-$250,000</t>
        </is>
      </c>
      <c r="B27" s="7" t="n">
        <v>50000</v>
      </c>
      <c r="C27" s="7" t="n">
        <v>1000000</v>
      </c>
      <c r="D27" t="n">
        <v>0.86</v>
      </c>
      <c r="F27">
        <f>CONCATENATE(A27,B27,C27)</f>
        <v/>
      </c>
      <c r="G27" t="n">
        <v>0.86</v>
      </c>
    </row>
    <row r="28">
      <c r="A28" s="218" t="inlineStr">
        <is>
          <t>$0-$250,000</t>
        </is>
      </c>
      <c r="B28" s="7" t="n">
        <v>50000</v>
      </c>
      <c r="C28" s="7" t="n">
        <v>2000000</v>
      </c>
      <c r="D28" t="n">
        <v>1.38</v>
      </c>
      <c r="F28">
        <f>CONCATENATE(A28,B28,C28)</f>
        <v/>
      </c>
      <c r="G28" t="n">
        <v>1.38</v>
      </c>
    </row>
    <row r="29">
      <c r="A29" s="218" t="inlineStr">
        <is>
          <t>$0-$250,000</t>
        </is>
      </c>
      <c r="B29" s="7" t="n">
        <v>50000</v>
      </c>
      <c r="C29" s="7" t="n">
        <v>3000000</v>
      </c>
      <c r="D29" t="n">
        <v>1.81</v>
      </c>
      <c r="F29">
        <f>CONCATENATE(A29,B29,C29)</f>
        <v/>
      </c>
      <c r="G29" t="n">
        <v>1.81</v>
      </c>
    </row>
    <row r="30">
      <c r="A30" s="218" t="inlineStr">
        <is>
          <t>$0-$250,000</t>
        </is>
      </c>
      <c r="B30" s="7" t="n">
        <v>50000</v>
      </c>
      <c r="C30" s="7" t="n">
        <v>5000000</v>
      </c>
      <c r="D30" t="n">
        <v>2.31</v>
      </c>
      <c r="F30">
        <f>CONCATENATE(A30,B30,C30)</f>
        <v/>
      </c>
      <c r="G30" t="n">
        <v>2.31</v>
      </c>
    </row>
    <row r="31">
      <c r="A31" s="218" t="inlineStr">
        <is>
          <t>$0-$250,000</t>
        </is>
      </c>
      <c r="B31" s="7" t="n">
        <v>100000</v>
      </c>
      <c r="C31" s="7" t="n">
        <v>500000</v>
      </c>
      <c r="D31" t="n">
        <v>0.6</v>
      </c>
      <c r="F31">
        <f>CONCATENATE(A31,B31,C31)</f>
        <v/>
      </c>
      <c r="G31" t="n">
        <v>0.6</v>
      </c>
    </row>
    <row r="32">
      <c r="A32" s="218" t="inlineStr">
        <is>
          <t>$0-$250,000</t>
        </is>
      </c>
      <c r="B32" s="7" t="n">
        <v>100000</v>
      </c>
      <c r="C32" s="7" t="n">
        <v>1000000</v>
      </c>
      <c r="D32" t="n">
        <v>0.82</v>
      </c>
      <c r="F32">
        <f>CONCATENATE(A32,B32,C32)</f>
        <v/>
      </c>
      <c r="G32" t="n">
        <v>0.82</v>
      </c>
    </row>
    <row r="33">
      <c r="A33" s="218" t="inlineStr">
        <is>
          <t>$0-$250,000</t>
        </is>
      </c>
      <c r="B33" s="7" t="n">
        <v>100000</v>
      </c>
      <c r="C33" s="7" t="n">
        <v>2000000</v>
      </c>
      <c r="D33" t="n">
        <v>1.32</v>
      </c>
      <c r="F33">
        <f>CONCATENATE(A33,B33,C33)</f>
        <v/>
      </c>
      <c r="G33" t="n">
        <v>1.32</v>
      </c>
    </row>
    <row r="34">
      <c r="A34" s="218" t="inlineStr">
        <is>
          <t>$0-$250,000</t>
        </is>
      </c>
      <c r="B34" s="7" t="n">
        <v>100000</v>
      </c>
      <c r="C34" s="7" t="n">
        <v>3000000</v>
      </c>
      <c r="D34" t="n">
        <v>1.74</v>
      </c>
      <c r="F34">
        <f>CONCATENATE(A34,B34,C34)</f>
        <v/>
      </c>
      <c r="G34" t="n">
        <v>1.74</v>
      </c>
    </row>
    <row r="35">
      <c r="A35" s="218" t="inlineStr">
        <is>
          <t>$0-$250,000</t>
        </is>
      </c>
      <c r="B35" s="7" t="n">
        <v>100000</v>
      </c>
      <c r="C35" s="7" t="n">
        <v>5000000</v>
      </c>
      <c r="D35" t="n">
        <v>2.25</v>
      </c>
      <c r="F35">
        <f>CONCATENATE(A35,B35,C35)</f>
        <v/>
      </c>
      <c r="G35" t="n">
        <v>2.25</v>
      </c>
    </row>
    <row r="36">
      <c r="A36" s="219" t="inlineStr">
        <is>
          <t>$250,001-$500,000</t>
        </is>
      </c>
      <c r="B36" s="15" t="n">
        <v>1000</v>
      </c>
      <c r="C36" s="15" t="n">
        <v>500000</v>
      </c>
      <c r="D36" t="n">
        <v>0.85</v>
      </c>
      <c r="F36">
        <f>CONCATENATE(A36,B36,C36)</f>
        <v/>
      </c>
      <c r="G36" t="n">
        <v>0.85</v>
      </c>
    </row>
    <row r="37">
      <c r="A37" s="219" t="inlineStr">
        <is>
          <t>$250,001-$500,000</t>
        </is>
      </c>
      <c r="B37" s="15" t="n">
        <v>1000</v>
      </c>
      <c r="C37" s="15" t="n">
        <v>1000000</v>
      </c>
      <c r="D37" t="n">
        <v>1.1</v>
      </c>
      <c r="F37">
        <f>CONCATENATE(A37,B37,C37)</f>
        <v/>
      </c>
      <c r="G37" t="n">
        <v>1.1</v>
      </c>
    </row>
    <row r="38">
      <c r="A38" s="219" t="inlineStr">
        <is>
          <t>$250,001-$500,000</t>
        </is>
      </c>
      <c r="B38" s="15" t="n">
        <v>1000</v>
      </c>
      <c r="C38" s="15" t="n">
        <v>2000000</v>
      </c>
      <c r="D38" t="n">
        <v>99</v>
      </c>
      <c r="F38">
        <f>CONCATENATE(A38,B38,C38)</f>
        <v/>
      </c>
      <c r="G38" t="n">
        <v>99</v>
      </c>
    </row>
    <row r="39">
      <c r="A39" s="219" t="inlineStr">
        <is>
          <t>$250,001-$500,000</t>
        </is>
      </c>
      <c r="B39" s="15" t="n">
        <v>1000</v>
      </c>
      <c r="C39" s="15" t="n">
        <v>3000000</v>
      </c>
      <c r="D39" t="n">
        <v>99</v>
      </c>
      <c r="F39">
        <f>CONCATENATE(A39,B39,C39)</f>
        <v/>
      </c>
      <c r="G39" t="n">
        <v>99</v>
      </c>
    </row>
    <row r="40">
      <c r="A40" s="219" t="inlineStr">
        <is>
          <t>$250,001-$500,000</t>
        </is>
      </c>
      <c r="B40" s="15" t="n">
        <v>1000</v>
      </c>
      <c r="C40" s="15" t="n">
        <v>5000000</v>
      </c>
      <c r="D40" t="n">
        <v>99</v>
      </c>
      <c r="F40">
        <f>CONCATENATE(A40,B40,C40)</f>
        <v/>
      </c>
      <c r="G40" t="n">
        <v>99</v>
      </c>
    </row>
    <row r="41">
      <c r="A41" s="219" t="inlineStr">
        <is>
          <t>$250,001-$500,000</t>
        </is>
      </c>
      <c r="B41" s="15" t="n">
        <v>2500</v>
      </c>
      <c r="C41" s="15" t="n">
        <v>500000</v>
      </c>
      <c r="D41" t="n">
        <v>0.8</v>
      </c>
      <c r="F41">
        <f>CONCATENATE(A41,B41,C41)</f>
        <v/>
      </c>
      <c r="G41" t="n">
        <v>0.8</v>
      </c>
    </row>
    <row r="42">
      <c r="A42" s="219" t="inlineStr">
        <is>
          <t>$250,001-$500,000</t>
        </is>
      </c>
      <c r="B42" s="15" t="n">
        <v>2500</v>
      </c>
      <c r="C42" s="15" t="n">
        <v>1000000</v>
      </c>
      <c r="D42" t="n">
        <v>1.05</v>
      </c>
      <c r="F42">
        <f>CONCATENATE(A42,B42,C42)</f>
        <v/>
      </c>
      <c r="G42" t="n">
        <v>1.05</v>
      </c>
    </row>
    <row r="43">
      <c r="A43" s="219" t="inlineStr">
        <is>
          <t>$250,001-$500,000</t>
        </is>
      </c>
      <c r="B43" s="15" t="n">
        <v>2500</v>
      </c>
      <c r="C43" s="15" t="n">
        <v>2000000</v>
      </c>
      <c r="D43" t="n">
        <v>1.57</v>
      </c>
      <c r="F43">
        <f>CONCATENATE(A43,B43,C43)</f>
        <v/>
      </c>
      <c r="G43" t="n">
        <v>1.57</v>
      </c>
    </row>
    <row r="44">
      <c r="A44" s="219" t="inlineStr">
        <is>
          <t>$250,001-$500,000</t>
        </is>
      </c>
      <c r="B44" s="15" t="n">
        <v>2500</v>
      </c>
      <c r="C44" s="15" t="n">
        <v>3000000</v>
      </c>
      <c r="D44" t="n">
        <v>2</v>
      </c>
      <c r="F44">
        <f>CONCATENATE(A44,B44,C44)</f>
        <v/>
      </c>
      <c r="G44" t="n">
        <v>2</v>
      </c>
    </row>
    <row r="45">
      <c r="A45" s="219" t="inlineStr">
        <is>
          <t>$250,001-$500,000</t>
        </is>
      </c>
      <c r="B45" s="15" t="n">
        <v>2500</v>
      </c>
      <c r="C45" s="15" t="n">
        <v>5000000</v>
      </c>
      <c r="D45" t="n">
        <v>2.5</v>
      </c>
      <c r="F45">
        <f>CONCATENATE(A45,B45,C45)</f>
        <v/>
      </c>
      <c r="G45" t="n">
        <v>2.5</v>
      </c>
    </row>
    <row r="46">
      <c r="A46" s="219" t="inlineStr">
        <is>
          <t>$250,001-$500,000</t>
        </is>
      </c>
      <c r="B46" s="15" t="n">
        <v>5000</v>
      </c>
      <c r="C46" s="15" t="n">
        <v>500000</v>
      </c>
      <c r="D46" t="n">
        <v>0.76</v>
      </c>
      <c r="F46">
        <f>CONCATENATE(A46,B46,C46)</f>
        <v/>
      </c>
      <c r="G46" t="n">
        <v>0.76</v>
      </c>
    </row>
    <row r="47">
      <c r="A47" s="219" t="inlineStr">
        <is>
          <t>$250,001-$500,000</t>
        </is>
      </c>
      <c r="B47" s="15" t="n">
        <v>5000</v>
      </c>
      <c r="C47" s="15" t="n">
        <v>1000000</v>
      </c>
      <c r="D47" t="n">
        <v>1</v>
      </c>
      <c r="F47">
        <f>CONCATENATE(A47,B47,C47)</f>
        <v/>
      </c>
      <c r="G47" t="n">
        <v>1</v>
      </c>
    </row>
    <row r="48">
      <c r="A48" s="219" t="inlineStr">
        <is>
          <t>$250,001-$500,000</t>
        </is>
      </c>
      <c r="B48" s="15" t="n">
        <v>5000</v>
      </c>
      <c r="C48" s="15" t="n">
        <v>2000000</v>
      </c>
      <c r="D48" t="n">
        <v>1.5</v>
      </c>
      <c r="F48">
        <f>CONCATENATE(A48,B48,C48)</f>
        <v/>
      </c>
      <c r="G48" t="n">
        <v>1.5</v>
      </c>
    </row>
    <row r="49">
      <c r="A49" s="219" t="inlineStr">
        <is>
          <t>$250,001-$500,000</t>
        </is>
      </c>
      <c r="B49" s="15" t="n">
        <v>5000</v>
      </c>
      <c r="C49" s="15" t="n">
        <v>3000000</v>
      </c>
      <c r="D49" t="n">
        <v>1.94</v>
      </c>
      <c r="F49">
        <f>CONCATENATE(A49,B49,C49)</f>
        <v/>
      </c>
      <c r="G49" t="n">
        <v>1.94</v>
      </c>
    </row>
    <row r="50">
      <c r="A50" s="219" t="inlineStr">
        <is>
          <t>$250,001-$500,000</t>
        </is>
      </c>
      <c r="B50" s="15" t="n">
        <v>5000</v>
      </c>
      <c r="C50" s="15" t="n">
        <v>5000000</v>
      </c>
      <c r="D50" t="n">
        <v>2.43</v>
      </c>
      <c r="F50">
        <f>CONCATENATE(A50,B50,C50)</f>
        <v/>
      </c>
      <c r="G50" t="n">
        <v>2.43</v>
      </c>
    </row>
    <row r="51">
      <c r="A51" s="219" t="inlineStr">
        <is>
          <t>$250,001-$500,000</t>
        </is>
      </c>
      <c r="B51" s="15" t="n">
        <v>10000</v>
      </c>
      <c r="C51" s="15" t="n">
        <v>500000</v>
      </c>
      <c r="D51" t="n">
        <v>0.73</v>
      </c>
      <c r="F51">
        <f>CONCATENATE(A51,B51,C51)</f>
        <v/>
      </c>
      <c r="G51" t="n">
        <v>0.73</v>
      </c>
    </row>
    <row r="52">
      <c r="A52" s="219" t="inlineStr">
        <is>
          <t>$250,001-$500,000</t>
        </is>
      </c>
      <c r="B52" s="15" t="n">
        <v>10000</v>
      </c>
      <c r="C52" s="15" t="n">
        <v>1000000</v>
      </c>
      <c r="D52" t="n">
        <v>0.96</v>
      </c>
      <c r="F52">
        <f>CONCATENATE(A52,B52,C52)</f>
        <v/>
      </c>
      <c r="G52" t="n">
        <v>0.96</v>
      </c>
    </row>
    <row r="53">
      <c r="A53" s="219" t="inlineStr">
        <is>
          <t>$250,001-$500,000</t>
        </is>
      </c>
      <c r="B53" s="15" t="n">
        <v>10000</v>
      </c>
      <c r="C53" s="15" t="n">
        <v>2000000</v>
      </c>
      <c r="D53" t="n">
        <v>1.46</v>
      </c>
      <c r="F53">
        <f>CONCATENATE(A53,B53,C53)</f>
        <v/>
      </c>
      <c r="G53" t="n">
        <v>1.46</v>
      </c>
    </row>
    <row r="54">
      <c r="A54" s="219" t="inlineStr">
        <is>
          <t>$250,001-$500,000</t>
        </is>
      </c>
      <c r="B54" s="15" t="n">
        <v>10000</v>
      </c>
      <c r="C54" s="15" t="n">
        <v>3000000</v>
      </c>
      <c r="D54" t="n">
        <v>1.9</v>
      </c>
      <c r="F54">
        <f>CONCATENATE(A54,B54,C54)</f>
        <v/>
      </c>
      <c r="G54" t="n">
        <v>1.9</v>
      </c>
    </row>
    <row r="55">
      <c r="A55" s="219" t="inlineStr">
        <is>
          <t>$250,001-$500,000</t>
        </is>
      </c>
      <c r="B55" s="15" t="n">
        <v>10000</v>
      </c>
      <c r="C55" s="15" t="n">
        <v>5000000</v>
      </c>
      <c r="D55" t="n">
        <v>2.4</v>
      </c>
      <c r="F55">
        <f>CONCATENATE(A55,B55,C55)</f>
        <v/>
      </c>
      <c r="G55" t="n">
        <v>2.4</v>
      </c>
    </row>
    <row r="56">
      <c r="A56" s="219" t="inlineStr">
        <is>
          <t>$250,001-$500,000</t>
        </is>
      </c>
      <c r="B56" s="15" t="n">
        <v>25000</v>
      </c>
      <c r="C56" s="15" t="n">
        <v>500000</v>
      </c>
      <c r="D56" t="n">
        <v>0.7</v>
      </c>
      <c r="F56">
        <f>CONCATENATE(A56,B56,C56)</f>
        <v/>
      </c>
      <c r="G56" t="n">
        <v>0.7</v>
      </c>
    </row>
    <row r="57">
      <c r="A57" s="219" t="inlineStr">
        <is>
          <t>$250,001-$500,000</t>
        </is>
      </c>
      <c r="B57" s="15" t="n">
        <v>25000</v>
      </c>
      <c r="C57" s="15" t="n">
        <v>1000000</v>
      </c>
      <c r="D57" t="n">
        <v>0.9</v>
      </c>
      <c r="F57">
        <f>CONCATENATE(A57,B57,C57)</f>
        <v/>
      </c>
      <c r="G57" t="n">
        <v>0.9</v>
      </c>
    </row>
    <row r="58">
      <c r="A58" s="219" t="inlineStr">
        <is>
          <t>$250,001-$500,000</t>
        </is>
      </c>
      <c r="B58" s="15" t="n">
        <v>25000</v>
      </c>
      <c r="C58" s="15" t="n">
        <v>2000000</v>
      </c>
      <c r="D58" t="n">
        <v>1.42</v>
      </c>
      <c r="F58">
        <f>CONCATENATE(A58,B58,C58)</f>
        <v/>
      </c>
      <c r="G58" t="n">
        <v>1.42</v>
      </c>
    </row>
    <row r="59">
      <c r="A59" s="219" t="inlineStr">
        <is>
          <t>$250,001-$500,000</t>
        </is>
      </c>
      <c r="B59" s="15" t="n">
        <v>25000</v>
      </c>
      <c r="C59" s="15" t="n">
        <v>3000000</v>
      </c>
      <c r="D59" t="n">
        <v>1.86</v>
      </c>
      <c r="F59">
        <f>CONCATENATE(A59,B59,C59)</f>
        <v/>
      </c>
      <c r="G59" t="n">
        <v>1.86</v>
      </c>
    </row>
    <row r="60">
      <c r="A60" s="219" t="inlineStr">
        <is>
          <t>$250,001-$500,000</t>
        </is>
      </c>
      <c r="B60" s="15" t="n">
        <v>25000</v>
      </c>
      <c r="C60" s="15" t="n">
        <v>5000000</v>
      </c>
      <c r="D60" t="n">
        <v>2.36</v>
      </c>
      <c r="F60">
        <f>CONCATENATE(A60,B60,C60)</f>
        <v/>
      </c>
      <c r="G60" t="n">
        <v>2.36</v>
      </c>
    </row>
    <row r="61">
      <c r="A61" s="219" t="inlineStr">
        <is>
          <t>$250,001-$500,000</t>
        </is>
      </c>
      <c r="B61" s="15" t="n">
        <v>50000</v>
      </c>
      <c r="C61" s="15" t="n">
        <v>500000</v>
      </c>
      <c r="D61" t="n">
        <v>0.65</v>
      </c>
      <c r="F61">
        <f>CONCATENATE(A61,B61,C61)</f>
        <v/>
      </c>
      <c r="G61" t="n">
        <v>0.65</v>
      </c>
    </row>
    <row r="62">
      <c r="A62" s="219" t="inlineStr">
        <is>
          <t>$250,001-$500,000</t>
        </is>
      </c>
      <c r="B62" s="15" t="n">
        <v>50000</v>
      </c>
      <c r="C62" s="15" t="n">
        <v>1000000</v>
      </c>
      <c r="D62" t="n">
        <v>0.86</v>
      </c>
      <c r="F62">
        <f>CONCATENATE(A62,B62,C62)</f>
        <v/>
      </c>
      <c r="G62" t="n">
        <v>0.86</v>
      </c>
    </row>
    <row r="63">
      <c r="A63" s="219" t="inlineStr">
        <is>
          <t>$250,001-$500,000</t>
        </is>
      </c>
      <c r="B63" s="15" t="n">
        <v>50000</v>
      </c>
      <c r="C63" s="15" t="n">
        <v>2000000</v>
      </c>
      <c r="D63" t="n">
        <v>1.38</v>
      </c>
      <c r="F63">
        <f>CONCATENATE(A63,B63,C63)</f>
        <v/>
      </c>
      <c r="G63" t="n">
        <v>1.38</v>
      </c>
    </row>
    <row r="64">
      <c r="A64" s="219" t="inlineStr">
        <is>
          <t>$250,001-$500,000</t>
        </is>
      </c>
      <c r="B64" s="15" t="n">
        <v>50000</v>
      </c>
      <c r="C64" s="15" t="n">
        <v>3000000</v>
      </c>
      <c r="D64" t="n">
        <v>1.81</v>
      </c>
      <c r="F64">
        <f>CONCATENATE(A64,B64,C64)</f>
        <v/>
      </c>
      <c r="G64" t="n">
        <v>1.81</v>
      </c>
    </row>
    <row r="65">
      <c r="A65" s="219" t="inlineStr">
        <is>
          <t>$250,001-$500,000</t>
        </is>
      </c>
      <c r="B65" s="15" t="n">
        <v>50000</v>
      </c>
      <c r="C65" s="15" t="n">
        <v>5000000</v>
      </c>
      <c r="D65" t="n">
        <v>2.31</v>
      </c>
      <c r="F65">
        <f>CONCATENATE(A65,B65,C65)</f>
        <v/>
      </c>
      <c r="G65" t="n">
        <v>2.31</v>
      </c>
    </row>
    <row r="66">
      <c r="A66" s="219" t="inlineStr">
        <is>
          <t>$250,001-$500,000</t>
        </is>
      </c>
      <c r="B66" s="15" t="n">
        <v>100000</v>
      </c>
      <c r="C66" s="15" t="n">
        <v>500000</v>
      </c>
      <c r="D66" t="n">
        <v>0.6</v>
      </c>
      <c r="F66">
        <f>CONCATENATE(A66,B66,C66)</f>
        <v/>
      </c>
      <c r="G66" t="n">
        <v>0.6</v>
      </c>
    </row>
    <row r="67">
      <c r="A67" s="219" t="inlineStr">
        <is>
          <t>$250,001-$500,000</t>
        </is>
      </c>
      <c r="B67" s="15" t="n">
        <v>100000</v>
      </c>
      <c r="C67" s="15" t="n">
        <v>1000000</v>
      </c>
      <c r="D67" t="n">
        <v>0.82</v>
      </c>
      <c r="F67">
        <f>CONCATENATE(A67,B67,C67)</f>
        <v/>
      </c>
      <c r="G67" t="n">
        <v>0.82</v>
      </c>
    </row>
    <row r="68">
      <c r="A68" s="219" t="inlineStr">
        <is>
          <t>$250,001-$500,000</t>
        </is>
      </c>
      <c r="B68" s="15" t="n">
        <v>100000</v>
      </c>
      <c r="C68" s="15" t="n">
        <v>2000000</v>
      </c>
      <c r="D68" t="n">
        <v>1.32</v>
      </c>
      <c r="F68">
        <f>CONCATENATE(A68,B68,C68)</f>
        <v/>
      </c>
      <c r="G68" t="n">
        <v>1.32</v>
      </c>
    </row>
    <row r="69">
      <c r="A69" s="219" t="inlineStr">
        <is>
          <t>$250,001-$500,000</t>
        </is>
      </c>
      <c r="B69" s="15" t="n">
        <v>100000</v>
      </c>
      <c r="C69" s="15" t="n">
        <v>3000000</v>
      </c>
      <c r="D69" t="n">
        <v>1.74</v>
      </c>
      <c r="F69">
        <f>CONCATENATE(A69,B69,C69)</f>
        <v/>
      </c>
      <c r="G69" t="n">
        <v>1.74</v>
      </c>
    </row>
    <row r="70">
      <c r="A70" s="219" t="inlineStr">
        <is>
          <t>$250,001-$500,000</t>
        </is>
      </c>
      <c r="B70" s="15" t="n">
        <v>100000</v>
      </c>
      <c r="C70" s="15" t="n">
        <v>5000000</v>
      </c>
      <c r="D70" t="n">
        <v>2.25</v>
      </c>
      <c r="F70">
        <f>CONCATENATE(A70,B70,C70)</f>
        <v/>
      </c>
      <c r="G70" t="n">
        <v>2.25</v>
      </c>
    </row>
    <row r="71">
      <c r="A71" s="220" t="inlineStr">
        <is>
          <t>$500,001-$1,000,000</t>
        </is>
      </c>
      <c r="B71" s="12" t="n">
        <v>1000</v>
      </c>
      <c r="C71" s="12" t="n">
        <v>500000</v>
      </c>
      <c r="D71" t="n">
        <v>0.85</v>
      </c>
      <c r="F71">
        <f>CONCATENATE(A71,B71,C71)</f>
        <v/>
      </c>
      <c r="G71" t="n">
        <v>0.85</v>
      </c>
    </row>
    <row r="72">
      <c r="A72" s="220" t="inlineStr">
        <is>
          <t>$500,001-$1,000,000</t>
        </is>
      </c>
      <c r="B72" s="12" t="n">
        <v>1000</v>
      </c>
      <c r="C72" s="12" t="n">
        <v>1000000</v>
      </c>
      <c r="D72" t="n">
        <v>1.1</v>
      </c>
      <c r="F72">
        <f>CONCATENATE(A72,B72,C72)</f>
        <v/>
      </c>
      <c r="G72" t="n">
        <v>1.1</v>
      </c>
    </row>
    <row r="73">
      <c r="A73" s="220" t="inlineStr">
        <is>
          <t>$500,001-$1,000,000</t>
        </is>
      </c>
      <c r="B73" s="12" t="n">
        <v>1000</v>
      </c>
      <c r="C73" s="12" t="n">
        <v>2000000</v>
      </c>
      <c r="D73" t="n">
        <v>99</v>
      </c>
      <c r="F73">
        <f>CONCATENATE(A73,B73,C73)</f>
        <v/>
      </c>
      <c r="G73" t="n">
        <v>99</v>
      </c>
    </row>
    <row r="74">
      <c r="A74" s="220" t="inlineStr">
        <is>
          <t>$500,001-$1,000,000</t>
        </is>
      </c>
      <c r="B74" s="12" t="n">
        <v>1000</v>
      </c>
      <c r="C74" s="12" t="n">
        <v>3000000</v>
      </c>
      <c r="D74" t="n">
        <v>99</v>
      </c>
      <c r="F74">
        <f>CONCATENATE(A74,B74,C74)</f>
        <v/>
      </c>
      <c r="G74" t="n">
        <v>99</v>
      </c>
    </row>
    <row r="75">
      <c r="A75" s="220" t="inlineStr">
        <is>
          <t>$500,001-$1,000,000</t>
        </is>
      </c>
      <c r="B75" s="12" t="n">
        <v>1000</v>
      </c>
      <c r="C75" s="12" t="n">
        <v>5000000</v>
      </c>
      <c r="D75" t="n">
        <v>99</v>
      </c>
      <c r="F75">
        <f>CONCATENATE(A75,B75,C75)</f>
        <v/>
      </c>
      <c r="G75" t="n">
        <v>99</v>
      </c>
    </row>
    <row r="76">
      <c r="A76" s="220" t="inlineStr">
        <is>
          <t>$500,001-$1,000,000</t>
        </is>
      </c>
      <c r="B76" s="12" t="n">
        <v>2500</v>
      </c>
      <c r="C76" s="12" t="n">
        <v>500000</v>
      </c>
      <c r="D76" t="n">
        <v>0.8</v>
      </c>
      <c r="F76">
        <f>CONCATENATE(A76,B76,C76)</f>
        <v/>
      </c>
      <c r="G76" t="n">
        <v>0.8</v>
      </c>
    </row>
    <row r="77">
      <c r="A77" s="220" t="inlineStr">
        <is>
          <t>$500,001-$1,000,000</t>
        </is>
      </c>
      <c r="B77" s="12" t="n">
        <v>2500</v>
      </c>
      <c r="C77" s="12" t="n">
        <v>1000000</v>
      </c>
      <c r="D77" t="n">
        <v>1.05</v>
      </c>
      <c r="F77">
        <f>CONCATENATE(A77,B77,C77)</f>
        <v/>
      </c>
      <c r="G77" t="n">
        <v>1.05</v>
      </c>
    </row>
    <row r="78">
      <c r="A78" s="220" t="inlineStr">
        <is>
          <t>$500,001-$1,000,000</t>
        </is>
      </c>
      <c r="B78" s="12" t="n">
        <v>2500</v>
      </c>
      <c r="C78" s="12" t="n">
        <v>2000000</v>
      </c>
      <c r="D78" t="n">
        <v>1.57</v>
      </c>
      <c r="F78">
        <f>CONCATENATE(A78,B78,C78)</f>
        <v/>
      </c>
      <c r="G78" t="n">
        <v>1.57</v>
      </c>
    </row>
    <row r="79">
      <c r="A79" s="220" t="inlineStr">
        <is>
          <t>$500,001-$1,000,000</t>
        </is>
      </c>
      <c r="B79" s="12" t="n">
        <v>2500</v>
      </c>
      <c r="C79" s="12" t="n">
        <v>3000000</v>
      </c>
      <c r="D79" t="n">
        <v>2</v>
      </c>
      <c r="F79">
        <f>CONCATENATE(A79,B79,C79)</f>
        <v/>
      </c>
      <c r="G79" t="n">
        <v>2</v>
      </c>
    </row>
    <row r="80">
      <c r="A80" s="220" t="inlineStr">
        <is>
          <t>$500,001-$1,000,000</t>
        </is>
      </c>
      <c r="B80" s="12" t="n">
        <v>2500</v>
      </c>
      <c r="C80" s="12" t="n">
        <v>5000000</v>
      </c>
      <c r="D80" t="n">
        <v>2.5</v>
      </c>
      <c r="F80">
        <f>CONCATENATE(A80,B80,C80)</f>
        <v/>
      </c>
      <c r="G80" t="n">
        <v>2.5</v>
      </c>
    </row>
    <row r="81">
      <c r="A81" s="220" t="inlineStr">
        <is>
          <t>$500,001-$1,000,000</t>
        </is>
      </c>
      <c r="B81" s="12" t="n">
        <v>5000</v>
      </c>
      <c r="C81" s="12" t="n">
        <v>500000</v>
      </c>
      <c r="D81" t="n">
        <v>0.76</v>
      </c>
      <c r="F81">
        <f>CONCATENATE(A81,B81,C81)</f>
        <v/>
      </c>
      <c r="G81" t="n">
        <v>0.76</v>
      </c>
    </row>
    <row r="82">
      <c r="A82" s="220" t="inlineStr">
        <is>
          <t>$500,001-$1,000,000</t>
        </is>
      </c>
      <c r="B82" s="12" t="n">
        <v>5000</v>
      </c>
      <c r="C82" s="12" t="n">
        <v>1000000</v>
      </c>
      <c r="D82" t="n">
        <v>1</v>
      </c>
      <c r="F82">
        <f>CONCATENATE(A82,B82,C82)</f>
        <v/>
      </c>
      <c r="G82" t="n">
        <v>1</v>
      </c>
    </row>
    <row r="83">
      <c r="A83" s="220" t="inlineStr">
        <is>
          <t>$500,001-$1,000,000</t>
        </is>
      </c>
      <c r="B83" s="12" t="n">
        <v>5000</v>
      </c>
      <c r="C83" s="12" t="n">
        <v>2000000</v>
      </c>
      <c r="D83" t="n">
        <v>1.5</v>
      </c>
      <c r="F83">
        <f>CONCATENATE(A83,B83,C83)</f>
        <v/>
      </c>
      <c r="G83" t="n">
        <v>1.5</v>
      </c>
    </row>
    <row r="84">
      <c r="A84" s="220" t="inlineStr">
        <is>
          <t>$500,001-$1,000,000</t>
        </is>
      </c>
      <c r="B84" s="12" t="n">
        <v>5000</v>
      </c>
      <c r="C84" s="12" t="n">
        <v>3000000</v>
      </c>
      <c r="D84" t="n">
        <v>1.94</v>
      </c>
      <c r="F84">
        <f>CONCATENATE(A84,B84,C84)</f>
        <v/>
      </c>
      <c r="G84" t="n">
        <v>1.94</v>
      </c>
    </row>
    <row r="85">
      <c r="A85" s="220" t="inlineStr">
        <is>
          <t>$500,001-$1,000,000</t>
        </is>
      </c>
      <c r="B85" s="12" t="n">
        <v>5000</v>
      </c>
      <c r="C85" s="12" t="n">
        <v>5000000</v>
      </c>
      <c r="D85" t="n">
        <v>2.43</v>
      </c>
      <c r="F85">
        <f>CONCATENATE(A85,B85,C85)</f>
        <v/>
      </c>
      <c r="G85" t="n">
        <v>2.43</v>
      </c>
    </row>
    <row r="86">
      <c r="A86" s="220" t="inlineStr">
        <is>
          <t>$500,001-$1,000,000</t>
        </is>
      </c>
      <c r="B86" s="12" t="n">
        <v>10000</v>
      </c>
      <c r="C86" s="12" t="n">
        <v>500000</v>
      </c>
      <c r="D86" t="n">
        <v>0.73</v>
      </c>
      <c r="F86">
        <f>CONCATENATE(A86,B86,C86)</f>
        <v/>
      </c>
      <c r="G86" t="n">
        <v>0.73</v>
      </c>
    </row>
    <row r="87">
      <c r="A87" s="220" t="inlineStr">
        <is>
          <t>$500,001-$1,000,000</t>
        </is>
      </c>
      <c r="B87" s="12" t="n">
        <v>10000</v>
      </c>
      <c r="C87" s="12" t="n">
        <v>1000000</v>
      </c>
      <c r="D87" t="n">
        <v>0.96</v>
      </c>
      <c r="F87">
        <f>CONCATENATE(A87,B87,C87)</f>
        <v/>
      </c>
      <c r="G87" t="n">
        <v>0.96</v>
      </c>
    </row>
    <row r="88">
      <c r="A88" s="220" t="inlineStr">
        <is>
          <t>$500,001-$1,000,000</t>
        </is>
      </c>
      <c r="B88" s="12" t="n">
        <v>10000</v>
      </c>
      <c r="C88" s="12" t="n">
        <v>2000000</v>
      </c>
      <c r="D88" t="n">
        <v>1.46</v>
      </c>
      <c r="F88">
        <f>CONCATENATE(A88,B88,C88)</f>
        <v/>
      </c>
      <c r="G88" t="n">
        <v>1.46</v>
      </c>
    </row>
    <row r="89">
      <c r="A89" s="220" t="inlineStr">
        <is>
          <t>$500,001-$1,000,000</t>
        </is>
      </c>
      <c r="B89" s="12" t="n">
        <v>10000</v>
      </c>
      <c r="C89" s="12" t="n">
        <v>3000000</v>
      </c>
      <c r="D89" t="n">
        <v>1.9</v>
      </c>
      <c r="F89">
        <f>CONCATENATE(A89,B89,C89)</f>
        <v/>
      </c>
      <c r="G89" t="n">
        <v>1.9</v>
      </c>
    </row>
    <row r="90">
      <c r="A90" s="220" t="inlineStr">
        <is>
          <t>$500,001-$1,000,000</t>
        </is>
      </c>
      <c r="B90" s="12" t="n">
        <v>10000</v>
      </c>
      <c r="C90" s="12" t="n">
        <v>5000000</v>
      </c>
      <c r="D90" t="n">
        <v>2.4</v>
      </c>
      <c r="F90">
        <f>CONCATENATE(A90,B90,C90)</f>
        <v/>
      </c>
      <c r="G90" t="n">
        <v>2.4</v>
      </c>
    </row>
    <row r="91">
      <c r="A91" s="220" t="inlineStr">
        <is>
          <t>$500,001-$1,000,000</t>
        </is>
      </c>
      <c r="B91" s="12" t="n">
        <v>25000</v>
      </c>
      <c r="C91" s="12" t="n">
        <v>500000</v>
      </c>
      <c r="D91" t="n">
        <v>0.7</v>
      </c>
      <c r="F91">
        <f>CONCATENATE(A91,B91,C91)</f>
        <v/>
      </c>
      <c r="G91" t="n">
        <v>0.7</v>
      </c>
    </row>
    <row r="92">
      <c r="A92" s="220" t="inlineStr">
        <is>
          <t>$500,001-$1,000,000</t>
        </is>
      </c>
      <c r="B92" s="12" t="n">
        <v>25000</v>
      </c>
      <c r="C92" s="12" t="n">
        <v>1000000</v>
      </c>
      <c r="D92" t="n">
        <v>0.9</v>
      </c>
      <c r="F92">
        <f>CONCATENATE(A92,B92,C92)</f>
        <v/>
      </c>
      <c r="G92" t="n">
        <v>0.9</v>
      </c>
    </row>
    <row r="93">
      <c r="A93" s="220" t="inlineStr">
        <is>
          <t>$500,001-$1,000,000</t>
        </is>
      </c>
      <c r="B93" s="12" t="n">
        <v>25000</v>
      </c>
      <c r="C93" s="12" t="n">
        <v>2000000</v>
      </c>
      <c r="D93" t="n">
        <v>1.42</v>
      </c>
      <c r="F93">
        <f>CONCATENATE(A93,B93,C93)</f>
        <v/>
      </c>
      <c r="G93" t="n">
        <v>1.42</v>
      </c>
    </row>
    <row r="94">
      <c r="A94" s="220" t="inlineStr">
        <is>
          <t>$500,001-$1,000,000</t>
        </is>
      </c>
      <c r="B94" s="12" t="n">
        <v>25000</v>
      </c>
      <c r="C94" s="12" t="n">
        <v>3000000</v>
      </c>
      <c r="D94" t="n">
        <v>1.86</v>
      </c>
      <c r="F94">
        <f>CONCATENATE(A94,B94,C94)</f>
        <v/>
      </c>
      <c r="G94" t="n">
        <v>1.86</v>
      </c>
    </row>
    <row r="95">
      <c r="A95" s="220" t="inlineStr">
        <is>
          <t>$500,001-$1,000,000</t>
        </is>
      </c>
      <c r="B95" s="12" t="n">
        <v>25000</v>
      </c>
      <c r="C95" s="12" t="n">
        <v>5000000</v>
      </c>
      <c r="D95" t="n">
        <v>2.36</v>
      </c>
      <c r="F95">
        <f>CONCATENATE(A95,B95,C95)</f>
        <v/>
      </c>
      <c r="G95" t="n">
        <v>2.36</v>
      </c>
    </row>
    <row r="96">
      <c r="A96" s="220" t="inlineStr">
        <is>
          <t>$500,001-$1,000,000</t>
        </is>
      </c>
      <c r="B96" s="12" t="n">
        <v>50000</v>
      </c>
      <c r="C96" s="12" t="n">
        <v>500000</v>
      </c>
      <c r="D96" t="n">
        <v>0.65</v>
      </c>
      <c r="F96">
        <f>CONCATENATE(A96,B96,C96)</f>
        <v/>
      </c>
      <c r="G96" t="n">
        <v>0.65</v>
      </c>
    </row>
    <row r="97">
      <c r="A97" s="220" t="inlineStr">
        <is>
          <t>$500,001-$1,000,000</t>
        </is>
      </c>
      <c r="B97" s="12" t="n">
        <v>50000</v>
      </c>
      <c r="C97" s="12" t="n">
        <v>1000000</v>
      </c>
      <c r="D97" t="n">
        <v>0.86</v>
      </c>
      <c r="F97">
        <f>CONCATENATE(A97,B97,C97)</f>
        <v/>
      </c>
      <c r="G97" t="n">
        <v>0.86</v>
      </c>
    </row>
    <row r="98">
      <c r="A98" s="220" t="inlineStr">
        <is>
          <t>$500,001-$1,000,000</t>
        </is>
      </c>
      <c r="B98" s="12" t="n">
        <v>50000</v>
      </c>
      <c r="C98" s="12" t="n">
        <v>2000000</v>
      </c>
      <c r="D98" t="n">
        <v>1.38</v>
      </c>
      <c r="F98">
        <f>CONCATENATE(A98,B98,C98)</f>
        <v/>
      </c>
      <c r="G98" t="n">
        <v>1.38</v>
      </c>
    </row>
    <row r="99">
      <c r="A99" s="220" t="inlineStr">
        <is>
          <t>$500,001-$1,000,000</t>
        </is>
      </c>
      <c r="B99" s="12" t="n">
        <v>50000</v>
      </c>
      <c r="C99" s="12" t="n">
        <v>3000000</v>
      </c>
      <c r="D99" t="n">
        <v>1.81</v>
      </c>
      <c r="F99">
        <f>CONCATENATE(A99,B99,C99)</f>
        <v/>
      </c>
      <c r="G99" t="n">
        <v>1.81</v>
      </c>
    </row>
    <row r="100">
      <c r="A100" s="220" t="inlineStr">
        <is>
          <t>$500,001-$1,000,000</t>
        </is>
      </c>
      <c r="B100" s="12" t="n">
        <v>50000</v>
      </c>
      <c r="C100" s="12" t="n">
        <v>5000000</v>
      </c>
      <c r="D100" t="n">
        <v>2.31</v>
      </c>
      <c r="F100">
        <f>CONCATENATE(A100,B100,C100)</f>
        <v/>
      </c>
      <c r="G100" t="n">
        <v>2.31</v>
      </c>
    </row>
    <row r="101">
      <c r="A101" s="220" t="inlineStr">
        <is>
          <t>$500,001-$1,000,000</t>
        </is>
      </c>
      <c r="B101" s="12" t="n">
        <v>100000</v>
      </c>
      <c r="C101" s="12" t="n">
        <v>500000</v>
      </c>
      <c r="D101" t="n">
        <v>0.6</v>
      </c>
      <c r="F101">
        <f>CONCATENATE(A101,B101,C101)</f>
        <v/>
      </c>
      <c r="G101" t="n">
        <v>0.6</v>
      </c>
    </row>
    <row r="102">
      <c r="A102" s="220" t="inlineStr">
        <is>
          <t>$500,001-$1,000,000</t>
        </is>
      </c>
      <c r="B102" s="12" t="n">
        <v>100000</v>
      </c>
      <c r="C102" s="12" t="n">
        <v>1000000</v>
      </c>
      <c r="D102" t="n">
        <v>0.82</v>
      </c>
      <c r="F102">
        <f>CONCATENATE(A102,B102,C102)</f>
        <v/>
      </c>
      <c r="G102" t="n">
        <v>0.82</v>
      </c>
    </row>
    <row r="103">
      <c r="A103" s="220" t="inlineStr">
        <is>
          <t>$500,001-$1,000,000</t>
        </is>
      </c>
      <c r="B103" s="12" t="n">
        <v>100000</v>
      </c>
      <c r="C103" s="12" t="n">
        <v>2000000</v>
      </c>
      <c r="D103" t="n">
        <v>1.32</v>
      </c>
      <c r="F103">
        <f>CONCATENATE(A103,B103,C103)</f>
        <v/>
      </c>
      <c r="G103" t="n">
        <v>1.32</v>
      </c>
    </row>
    <row r="104">
      <c r="A104" s="220" t="inlineStr">
        <is>
          <t>$500,001-$1,000,000</t>
        </is>
      </c>
      <c r="B104" s="12" t="n">
        <v>100000</v>
      </c>
      <c r="C104" s="12" t="n">
        <v>3000000</v>
      </c>
      <c r="D104" t="n">
        <v>1.74</v>
      </c>
      <c r="F104">
        <f>CONCATENATE(A104,B104,C104)</f>
        <v/>
      </c>
      <c r="G104" t="n">
        <v>1.74</v>
      </c>
    </row>
    <row r="105">
      <c r="A105" s="220" t="inlineStr">
        <is>
          <t>$500,001-$1,000,000</t>
        </is>
      </c>
      <c r="B105" s="12" t="n">
        <v>100000</v>
      </c>
      <c r="C105" s="12" t="n">
        <v>5000000</v>
      </c>
      <c r="D105" t="n">
        <v>2.25</v>
      </c>
      <c r="F105">
        <f>CONCATENATE(A105,B105,C105)</f>
        <v/>
      </c>
      <c r="G105" t="n">
        <v>2.25</v>
      </c>
    </row>
    <row r="106">
      <c r="A106" s="221" t="inlineStr">
        <is>
          <t>$1,000,001-$3,000,000</t>
        </is>
      </c>
      <c r="B106" s="19" t="n">
        <v>1000</v>
      </c>
      <c r="C106" s="19" t="n">
        <v>500000</v>
      </c>
      <c r="D106" t="n">
        <v>0.85</v>
      </c>
      <c r="F106">
        <f>CONCATENATE(A106,B106,C106)</f>
        <v/>
      </c>
      <c r="G106" t="n">
        <v>0.85</v>
      </c>
    </row>
    <row r="107">
      <c r="A107" s="221" t="inlineStr">
        <is>
          <t>$1,000,001-$3,000,000</t>
        </is>
      </c>
      <c r="B107" s="19" t="n">
        <v>1000</v>
      </c>
      <c r="C107" s="19" t="n">
        <v>1000000</v>
      </c>
      <c r="D107" t="n">
        <v>1.1</v>
      </c>
      <c r="F107">
        <f>CONCATENATE(A107,B107,C107)</f>
        <v/>
      </c>
      <c r="G107" t="n">
        <v>1.1</v>
      </c>
    </row>
    <row r="108">
      <c r="A108" s="221" t="inlineStr">
        <is>
          <t>$1,000,001-$3,000,000</t>
        </is>
      </c>
      <c r="B108" s="19" t="n">
        <v>1000</v>
      </c>
      <c r="C108" s="19" t="n">
        <v>2000000</v>
      </c>
      <c r="D108" t="n">
        <v>99</v>
      </c>
      <c r="F108">
        <f>CONCATENATE(A108,B108,C108)</f>
        <v/>
      </c>
      <c r="G108" t="n">
        <v>99</v>
      </c>
    </row>
    <row r="109">
      <c r="A109" s="221" t="inlineStr">
        <is>
          <t>$1,000,001-$3,000,000</t>
        </is>
      </c>
      <c r="B109" s="19" t="n">
        <v>1000</v>
      </c>
      <c r="C109" s="19" t="n">
        <v>3000000</v>
      </c>
      <c r="D109" t="n">
        <v>99</v>
      </c>
      <c r="F109">
        <f>CONCATENATE(A109,B109,C109)</f>
        <v/>
      </c>
      <c r="G109" t="n">
        <v>99</v>
      </c>
    </row>
    <row r="110">
      <c r="A110" s="221" t="inlineStr">
        <is>
          <t>$1,000,001-$3,000,000</t>
        </is>
      </c>
      <c r="B110" s="19" t="n">
        <v>1000</v>
      </c>
      <c r="C110" s="19" t="n">
        <v>5000000</v>
      </c>
      <c r="D110" t="n">
        <v>99</v>
      </c>
      <c r="F110">
        <f>CONCATENATE(A110,B110,C110)</f>
        <v/>
      </c>
      <c r="G110" t="n">
        <v>99</v>
      </c>
    </row>
    <row r="111">
      <c r="A111" s="221" t="inlineStr">
        <is>
          <t>$1,000,001-$3,000,000</t>
        </is>
      </c>
      <c r="B111" s="19" t="n">
        <v>2500</v>
      </c>
      <c r="C111" s="19" t="n">
        <v>500000</v>
      </c>
      <c r="D111" t="n">
        <v>0.8</v>
      </c>
      <c r="F111">
        <f>CONCATENATE(A111,B111,C111)</f>
        <v/>
      </c>
      <c r="G111" t="n">
        <v>0.8</v>
      </c>
    </row>
    <row r="112">
      <c r="A112" s="221" t="inlineStr">
        <is>
          <t>$1,000,001-$3,000,000</t>
        </is>
      </c>
      <c r="B112" s="19" t="n">
        <v>2500</v>
      </c>
      <c r="C112" s="19" t="n">
        <v>1000000</v>
      </c>
      <c r="D112" t="n">
        <v>1.05</v>
      </c>
      <c r="F112">
        <f>CONCATENATE(A112,B112,C112)</f>
        <v/>
      </c>
      <c r="G112" t="n">
        <v>1.05</v>
      </c>
    </row>
    <row r="113">
      <c r="A113" s="221" t="inlineStr">
        <is>
          <t>$1,000,001-$3,000,000</t>
        </is>
      </c>
      <c r="B113" s="19" t="n">
        <v>2500</v>
      </c>
      <c r="C113" s="19" t="n">
        <v>2000000</v>
      </c>
      <c r="D113" t="n">
        <v>1.57</v>
      </c>
      <c r="F113">
        <f>CONCATENATE(A113,B113,C113)</f>
        <v/>
      </c>
      <c r="G113" t="n">
        <v>1.57</v>
      </c>
    </row>
    <row r="114">
      <c r="A114" s="221" t="inlineStr">
        <is>
          <t>$1,000,001-$3,000,000</t>
        </is>
      </c>
      <c r="B114" s="19" t="n">
        <v>2500</v>
      </c>
      <c r="C114" s="19" t="n">
        <v>3000000</v>
      </c>
      <c r="D114" t="n">
        <v>2</v>
      </c>
      <c r="F114">
        <f>CONCATENATE(A114,B114,C114)</f>
        <v/>
      </c>
      <c r="G114" t="n">
        <v>2</v>
      </c>
    </row>
    <row r="115">
      <c r="A115" s="221" t="inlineStr">
        <is>
          <t>$1,000,001-$3,000,000</t>
        </is>
      </c>
      <c r="B115" s="19" t="n">
        <v>2500</v>
      </c>
      <c r="C115" s="19" t="n">
        <v>5000000</v>
      </c>
      <c r="D115" t="n">
        <v>2.5</v>
      </c>
      <c r="F115">
        <f>CONCATENATE(A115,B115,C115)</f>
        <v/>
      </c>
      <c r="G115" t="n">
        <v>2.5</v>
      </c>
    </row>
    <row r="116">
      <c r="A116" s="221" t="inlineStr">
        <is>
          <t>$1,000,001-$3,000,000</t>
        </is>
      </c>
      <c r="B116" s="19" t="n">
        <v>5000</v>
      </c>
      <c r="C116" s="19" t="n">
        <v>500000</v>
      </c>
      <c r="D116" t="n">
        <v>0.76</v>
      </c>
      <c r="F116">
        <f>CONCATENATE(A116,B116,C116)</f>
        <v/>
      </c>
      <c r="G116" t="n">
        <v>0.76</v>
      </c>
    </row>
    <row r="117">
      <c r="A117" s="221" t="inlineStr">
        <is>
          <t>$1,000,001-$3,000,000</t>
        </is>
      </c>
      <c r="B117" s="19" t="n">
        <v>5000</v>
      </c>
      <c r="C117" s="19" t="n">
        <v>1000000</v>
      </c>
      <c r="D117" t="n">
        <v>1</v>
      </c>
      <c r="F117">
        <f>CONCATENATE(A117,B117,C117)</f>
        <v/>
      </c>
      <c r="G117" t="n">
        <v>1</v>
      </c>
    </row>
    <row r="118">
      <c r="A118" s="221" t="inlineStr">
        <is>
          <t>$1,000,001-$3,000,000</t>
        </is>
      </c>
      <c r="B118" s="19" t="n">
        <v>5000</v>
      </c>
      <c r="C118" s="19" t="n">
        <v>2000000</v>
      </c>
      <c r="D118" t="n">
        <v>1.5</v>
      </c>
      <c r="F118">
        <f>CONCATENATE(A118,B118,C118)</f>
        <v/>
      </c>
      <c r="G118" t="n">
        <v>1.5</v>
      </c>
    </row>
    <row r="119">
      <c r="A119" s="221" t="inlineStr">
        <is>
          <t>$1,000,001-$3,000,000</t>
        </is>
      </c>
      <c r="B119" s="19" t="n">
        <v>5000</v>
      </c>
      <c r="C119" s="19" t="n">
        <v>3000000</v>
      </c>
      <c r="D119" t="n">
        <v>1.94</v>
      </c>
      <c r="F119">
        <f>CONCATENATE(A119,B119,C119)</f>
        <v/>
      </c>
      <c r="G119" t="n">
        <v>1.94</v>
      </c>
    </row>
    <row r="120">
      <c r="A120" s="221" t="inlineStr">
        <is>
          <t>$1,000,001-$3,000,000</t>
        </is>
      </c>
      <c r="B120" s="19" t="n">
        <v>5000</v>
      </c>
      <c r="C120" s="19" t="n">
        <v>5000000</v>
      </c>
      <c r="D120" t="n">
        <v>2.43</v>
      </c>
      <c r="F120">
        <f>CONCATENATE(A120,B120,C120)</f>
        <v/>
      </c>
      <c r="G120" t="n">
        <v>2.43</v>
      </c>
    </row>
    <row r="121">
      <c r="A121" s="221" t="inlineStr">
        <is>
          <t>$1,000,001-$3,000,000</t>
        </is>
      </c>
      <c r="B121" s="19" t="n">
        <v>10000</v>
      </c>
      <c r="C121" s="19" t="n">
        <v>500000</v>
      </c>
      <c r="D121" t="n">
        <v>0.73</v>
      </c>
      <c r="F121">
        <f>CONCATENATE(A121,B121,C121)</f>
        <v/>
      </c>
      <c r="G121" t="n">
        <v>0.73</v>
      </c>
    </row>
    <row r="122">
      <c r="A122" s="221" t="inlineStr">
        <is>
          <t>$1,000,001-$3,000,000</t>
        </is>
      </c>
      <c r="B122" s="19" t="n">
        <v>10000</v>
      </c>
      <c r="C122" s="19" t="n">
        <v>1000000</v>
      </c>
      <c r="D122" t="n">
        <v>0.96</v>
      </c>
      <c r="F122">
        <f>CONCATENATE(A122,B122,C122)</f>
        <v/>
      </c>
      <c r="G122" t="n">
        <v>0.96</v>
      </c>
    </row>
    <row r="123">
      <c r="A123" s="221" t="inlineStr">
        <is>
          <t>$1,000,001-$3,000,000</t>
        </is>
      </c>
      <c r="B123" s="19" t="n">
        <v>10000</v>
      </c>
      <c r="C123" s="19" t="n">
        <v>2000000</v>
      </c>
      <c r="D123" t="n">
        <v>1.46</v>
      </c>
      <c r="F123">
        <f>CONCATENATE(A123,B123,C123)</f>
        <v/>
      </c>
      <c r="G123" t="n">
        <v>1.46</v>
      </c>
    </row>
    <row r="124">
      <c r="A124" s="221" t="inlineStr">
        <is>
          <t>$1,000,001-$3,000,000</t>
        </is>
      </c>
      <c r="B124" s="19" t="n">
        <v>10000</v>
      </c>
      <c r="C124" s="19" t="n">
        <v>3000000</v>
      </c>
      <c r="D124" t="n">
        <v>1.9</v>
      </c>
      <c r="F124">
        <f>CONCATENATE(A124,B124,C124)</f>
        <v/>
      </c>
      <c r="G124" t="n">
        <v>1.9</v>
      </c>
    </row>
    <row r="125">
      <c r="A125" s="221" t="inlineStr">
        <is>
          <t>$1,000,001-$3,000,000</t>
        </is>
      </c>
      <c r="B125" s="19" t="n">
        <v>10000</v>
      </c>
      <c r="C125" s="19" t="n">
        <v>5000000</v>
      </c>
      <c r="D125" t="n">
        <v>2.4</v>
      </c>
      <c r="F125">
        <f>CONCATENATE(A125,B125,C125)</f>
        <v/>
      </c>
      <c r="G125" t="n">
        <v>2.4</v>
      </c>
    </row>
    <row r="126">
      <c r="A126" s="221" t="inlineStr">
        <is>
          <t>$1,000,001-$3,000,000</t>
        </is>
      </c>
      <c r="B126" s="19" t="n">
        <v>25000</v>
      </c>
      <c r="C126" s="19" t="n">
        <v>500000</v>
      </c>
      <c r="D126" t="n">
        <v>0.7</v>
      </c>
      <c r="F126">
        <f>CONCATENATE(A126,B126,C126)</f>
        <v/>
      </c>
      <c r="G126" t="n">
        <v>0.7</v>
      </c>
    </row>
    <row r="127">
      <c r="A127" s="221" t="inlineStr">
        <is>
          <t>$1,000,001-$3,000,000</t>
        </is>
      </c>
      <c r="B127" s="19" t="n">
        <v>25000</v>
      </c>
      <c r="C127" s="19" t="n">
        <v>1000000</v>
      </c>
      <c r="D127" t="n">
        <v>0.9</v>
      </c>
      <c r="F127">
        <f>CONCATENATE(A127,B127,C127)</f>
        <v/>
      </c>
      <c r="G127" t="n">
        <v>0.9</v>
      </c>
    </row>
    <row r="128">
      <c r="A128" s="221" t="inlineStr">
        <is>
          <t>$1,000,001-$3,000,000</t>
        </is>
      </c>
      <c r="B128" s="19" t="n">
        <v>25000</v>
      </c>
      <c r="C128" s="19" t="n">
        <v>2000000</v>
      </c>
      <c r="D128" t="n">
        <v>1.42</v>
      </c>
      <c r="F128">
        <f>CONCATENATE(A128,B128,C128)</f>
        <v/>
      </c>
      <c r="G128" t="n">
        <v>1.42</v>
      </c>
    </row>
    <row r="129">
      <c r="A129" s="221" t="inlineStr">
        <is>
          <t>$1,000,001-$3,000,000</t>
        </is>
      </c>
      <c r="B129" s="19" t="n">
        <v>25000</v>
      </c>
      <c r="C129" s="19" t="n">
        <v>3000000</v>
      </c>
      <c r="D129" t="n">
        <v>1.86</v>
      </c>
      <c r="F129">
        <f>CONCATENATE(A129,B129,C129)</f>
        <v/>
      </c>
      <c r="G129" t="n">
        <v>1.86</v>
      </c>
    </row>
    <row r="130">
      <c r="A130" s="221" t="inlineStr">
        <is>
          <t>$1,000,001-$3,000,000</t>
        </is>
      </c>
      <c r="B130" s="19" t="n">
        <v>25000</v>
      </c>
      <c r="C130" s="19" t="n">
        <v>5000000</v>
      </c>
      <c r="D130" t="n">
        <v>2.36</v>
      </c>
      <c r="F130">
        <f>CONCATENATE(A130,B130,C130)</f>
        <v/>
      </c>
      <c r="G130" t="n">
        <v>2.36</v>
      </c>
    </row>
    <row r="131">
      <c r="A131" s="221" t="inlineStr">
        <is>
          <t>$1,000,001-$3,000,000</t>
        </is>
      </c>
      <c r="B131" s="19" t="n">
        <v>50000</v>
      </c>
      <c r="C131" s="19" t="n">
        <v>500000</v>
      </c>
      <c r="D131" t="n">
        <v>0.65</v>
      </c>
      <c r="F131">
        <f>CONCATENATE(A131,B131,C131)</f>
        <v/>
      </c>
      <c r="G131" t="n">
        <v>0.65</v>
      </c>
    </row>
    <row r="132">
      <c r="A132" s="221" t="inlineStr">
        <is>
          <t>$1,000,001-$3,000,000</t>
        </is>
      </c>
      <c r="B132" s="19" t="n">
        <v>50000</v>
      </c>
      <c r="C132" s="19" t="n">
        <v>1000000</v>
      </c>
      <c r="D132" t="n">
        <v>0.86</v>
      </c>
      <c r="F132">
        <f>CONCATENATE(A132,B132,C132)</f>
        <v/>
      </c>
      <c r="G132" t="n">
        <v>0.86</v>
      </c>
    </row>
    <row r="133">
      <c r="A133" s="221" t="inlineStr">
        <is>
          <t>$1,000,001-$3,000,000</t>
        </is>
      </c>
      <c r="B133" s="19" t="n">
        <v>50000</v>
      </c>
      <c r="C133" s="19" t="n">
        <v>2000000</v>
      </c>
      <c r="D133" t="n">
        <v>1.38</v>
      </c>
      <c r="F133">
        <f>CONCATENATE(A133,B133,C133)</f>
        <v/>
      </c>
      <c r="G133" t="n">
        <v>1.38</v>
      </c>
    </row>
    <row r="134">
      <c r="A134" s="221" t="inlineStr">
        <is>
          <t>$1,000,001-$3,000,000</t>
        </is>
      </c>
      <c r="B134" s="19" t="n">
        <v>50000</v>
      </c>
      <c r="C134" s="19" t="n">
        <v>3000000</v>
      </c>
      <c r="D134" t="n">
        <v>1.81</v>
      </c>
      <c r="F134">
        <f>CONCATENATE(A134,B134,C134)</f>
        <v/>
      </c>
      <c r="G134" t="n">
        <v>1.81</v>
      </c>
    </row>
    <row r="135">
      <c r="A135" s="221" t="inlineStr">
        <is>
          <t>$1,000,001-$3,000,000</t>
        </is>
      </c>
      <c r="B135" s="19" t="n">
        <v>50000</v>
      </c>
      <c r="C135" s="19" t="n">
        <v>5000000</v>
      </c>
      <c r="D135" t="n">
        <v>2.31</v>
      </c>
      <c r="F135">
        <f>CONCATENATE(A135,B135,C135)</f>
        <v/>
      </c>
      <c r="G135" t="n">
        <v>2.31</v>
      </c>
    </row>
    <row r="136">
      <c r="A136" s="221" t="inlineStr">
        <is>
          <t>$1,000,001-$3,000,000</t>
        </is>
      </c>
      <c r="B136" s="19" t="n">
        <v>100000</v>
      </c>
      <c r="C136" s="19" t="n">
        <v>500000</v>
      </c>
      <c r="D136" t="n">
        <v>0.6</v>
      </c>
      <c r="F136">
        <f>CONCATENATE(A136,B136,C136)</f>
        <v/>
      </c>
      <c r="G136" t="n">
        <v>0.6</v>
      </c>
    </row>
    <row r="137">
      <c r="A137" s="221" t="inlineStr">
        <is>
          <t>$1,000,001-$3,000,000</t>
        </is>
      </c>
      <c r="B137" s="19" t="n">
        <v>100000</v>
      </c>
      <c r="C137" s="19" t="n">
        <v>1000000</v>
      </c>
      <c r="D137" t="n">
        <v>0.82</v>
      </c>
      <c r="F137">
        <f>CONCATENATE(A137,B137,C137)</f>
        <v/>
      </c>
      <c r="G137" t="n">
        <v>0.82</v>
      </c>
    </row>
    <row r="138">
      <c r="A138" s="221" t="inlineStr">
        <is>
          <t>$1,000,001-$3,000,000</t>
        </is>
      </c>
      <c r="B138" s="19" t="n">
        <v>100000</v>
      </c>
      <c r="C138" s="19" t="n">
        <v>2000000</v>
      </c>
      <c r="D138" t="n">
        <v>1.32</v>
      </c>
      <c r="F138">
        <f>CONCATENATE(A138,B138,C138)</f>
        <v/>
      </c>
      <c r="G138" t="n">
        <v>1.32</v>
      </c>
    </row>
    <row r="139">
      <c r="A139" s="221" t="inlineStr">
        <is>
          <t>$1,000,001-$3,000,000</t>
        </is>
      </c>
      <c r="B139" s="19" t="n">
        <v>100000</v>
      </c>
      <c r="C139" s="19" t="n">
        <v>3000000</v>
      </c>
      <c r="D139" t="n">
        <v>1.74</v>
      </c>
      <c r="F139">
        <f>CONCATENATE(A139,B139,C139)</f>
        <v/>
      </c>
      <c r="G139" t="n">
        <v>1.74</v>
      </c>
    </row>
    <row r="140">
      <c r="A140" s="221" t="inlineStr">
        <is>
          <t>$1,000,001-$3,000,000</t>
        </is>
      </c>
      <c r="B140" s="19" t="n">
        <v>100000</v>
      </c>
      <c r="C140" s="19" t="n">
        <v>5000000</v>
      </c>
      <c r="D140" t="n">
        <v>2.25</v>
      </c>
      <c r="F140">
        <f>CONCATENATE(A140,B140,C140)</f>
        <v/>
      </c>
      <c r="G140" t="n">
        <v>2.25</v>
      </c>
    </row>
    <row r="141">
      <c r="A141" s="222" t="inlineStr">
        <is>
          <t>$3,000,001-$6,000,000</t>
        </is>
      </c>
      <c r="B141" s="17" t="n">
        <v>1000</v>
      </c>
      <c r="C141" s="17" t="n">
        <v>500000</v>
      </c>
      <c r="D141" s="17" t="n">
        <v>99</v>
      </c>
      <c r="F141">
        <f>CONCATENATE(A141,B141,C141)</f>
        <v/>
      </c>
      <c r="G141" s="17" t="n">
        <v>99</v>
      </c>
    </row>
    <row r="142">
      <c r="A142" s="222" t="inlineStr">
        <is>
          <t>$3,000,001-$6,000,000</t>
        </is>
      </c>
      <c r="B142" s="17" t="n">
        <v>1000</v>
      </c>
      <c r="C142" s="17" t="n">
        <v>1000000</v>
      </c>
      <c r="D142" s="17" t="n">
        <v>99</v>
      </c>
      <c r="F142">
        <f>CONCATENATE(A142,B142,C142)</f>
        <v/>
      </c>
      <c r="G142" s="17" t="n">
        <v>99</v>
      </c>
    </row>
    <row r="143">
      <c r="A143" s="222" t="inlineStr">
        <is>
          <t>$3,000,001-$6,000,000</t>
        </is>
      </c>
      <c r="B143" s="17" t="n">
        <v>1000</v>
      </c>
      <c r="C143" s="17" t="n">
        <v>2000000</v>
      </c>
      <c r="D143" s="17" t="n">
        <v>99</v>
      </c>
      <c r="F143">
        <f>CONCATENATE(A143,B143,C143)</f>
        <v/>
      </c>
      <c r="G143" s="17" t="n">
        <v>99</v>
      </c>
    </row>
    <row r="144">
      <c r="A144" s="222" t="inlineStr">
        <is>
          <t>$3,000,001-$6,000,000</t>
        </is>
      </c>
      <c r="B144" s="17" t="n">
        <v>1000</v>
      </c>
      <c r="C144" s="17" t="n">
        <v>3000000</v>
      </c>
      <c r="D144" s="17" t="n">
        <v>99</v>
      </c>
      <c r="F144">
        <f>CONCATENATE(A144,B144,C144)</f>
        <v/>
      </c>
      <c r="G144" s="17" t="n">
        <v>99</v>
      </c>
    </row>
    <row r="145">
      <c r="A145" s="222" t="inlineStr">
        <is>
          <t>$3,000,001-$6,000,000</t>
        </is>
      </c>
      <c r="B145" s="17" t="n">
        <v>1000</v>
      </c>
      <c r="C145" s="17" t="n">
        <v>5000000</v>
      </c>
      <c r="D145" s="17" t="n">
        <v>99</v>
      </c>
      <c r="F145">
        <f>CONCATENATE(A145,B145,C145)</f>
        <v/>
      </c>
      <c r="G145" s="17" t="n">
        <v>99</v>
      </c>
    </row>
    <row r="146">
      <c r="A146" s="222" t="inlineStr">
        <is>
          <t>$3,000,001-$6,000,000</t>
        </is>
      </c>
      <c r="B146" s="17" t="n">
        <v>2500</v>
      </c>
      <c r="C146" s="17" t="n">
        <v>500000</v>
      </c>
      <c r="D146" s="17" t="n">
        <v>0.85</v>
      </c>
      <c r="F146">
        <f>CONCATENATE(A146,B146,C146)</f>
        <v/>
      </c>
      <c r="G146" s="17" t="n">
        <v>0.85</v>
      </c>
    </row>
    <row r="147">
      <c r="A147" s="222" t="inlineStr">
        <is>
          <t>$3,000,001-$6,000,000</t>
        </is>
      </c>
      <c r="B147" s="17" t="n">
        <v>2500</v>
      </c>
      <c r="C147" s="17" t="n">
        <v>1000000</v>
      </c>
      <c r="D147" s="17" t="n">
        <v>1.1</v>
      </c>
      <c r="F147">
        <f>CONCATENATE(A147,B147,C147)</f>
        <v/>
      </c>
      <c r="G147" s="17" t="n">
        <v>1.1</v>
      </c>
    </row>
    <row r="148">
      <c r="A148" s="222" t="inlineStr">
        <is>
          <t>$3,000,001-$6,000,000</t>
        </is>
      </c>
      <c r="B148" s="17" t="n">
        <v>2500</v>
      </c>
      <c r="C148" s="17" t="n">
        <v>2000000</v>
      </c>
      <c r="D148" s="17" t="n">
        <v>1.62</v>
      </c>
      <c r="F148">
        <f>CONCATENATE(A148,B148,C148)</f>
        <v/>
      </c>
      <c r="G148" s="17" t="n">
        <v>1.62</v>
      </c>
    </row>
    <row r="149">
      <c r="A149" s="222" t="inlineStr">
        <is>
          <t>$3,000,001-$6,000,000</t>
        </is>
      </c>
      <c r="B149" s="17" t="n">
        <v>2500</v>
      </c>
      <c r="C149" s="17" t="n">
        <v>3000000</v>
      </c>
      <c r="D149" s="17" t="n">
        <v>2.05</v>
      </c>
      <c r="F149">
        <f>CONCATENATE(A149,B149,C149)</f>
        <v/>
      </c>
      <c r="G149" s="17" t="n">
        <v>2.05</v>
      </c>
    </row>
    <row r="150">
      <c r="A150" s="222" t="inlineStr">
        <is>
          <t>$3,000,001-$6,000,000</t>
        </is>
      </c>
      <c r="B150" s="17" t="n">
        <v>2500</v>
      </c>
      <c r="C150" s="17" t="n">
        <v>5000000</v>
      </c>
      <c r="D150" s="17" t="n">
        <v>2.55</v>
      </c>
      <c r="F150">
        <f>CONCATENATE(A150,B150,C150)</f>
        <v/>
      </c>
      <c r="G150" s="17" t="n">
        <v>2.55</v>
      </c>
    </row>
    <row r="151">
      <c r="A151" s="222" t="inlineStr">
        <is>
          <t>$3,000,001-$6,000,000</t>
        </is>
      </c>
      <c r="B151" s="17" t="n">
        <v>5000</v>
      </c>
      <c r="C151" s="17" t="n">
        <v>500000</v>
      </c>
      <c r="D151" s="17" t="n">
        <v>0.8</v>
      </c>
      <c r="F151">
        <f>CONCATENATE(A151,B151,C151)</f>
        <v/>
      </c>
      <c r="G151" s="17" t="n">
        <v>0.8</v>
      </c>
    </row>
    <row r="152">
      <c r="A152" s="222" t="inlineStr">
        <is>
          <t>$3,000,001-$6,000,000</t>
        </is>
      </c>
      <c r="B152" s="17" t="n">
        <v>5000</v>
      </c>
      <c r="C152" s="17" t="n">
        <v>1000000</v>
      </c>
      <c r="D152" s="17" t="n">
        <v>1.04</v>
      </c>
      <c r="F152">
        <f>CONCATENATE(A152,B152,C152)</f>
        <v/>
      </c>
      <c r="G152" s="17" t="n">
        <v>1.04</v>
      </c>
    </row>
    <row r="153">
      <c r="A153" s="222" t="inlineStr">
        <is>
          <t>$3,000,001-$6,000,000</t>
        </is>
      </c>
      <c r="B153" s="17" t="n">
        <v>5000</v>
      </c>
      <c r="C153" s="17" t="n">
        <v>2000000</v>
      </c>
      <c r="D153" s="17" t="n">
        <v>1.54</v>
      </c>
      <c r="F153">
        <f>CONCATENATE(A153,B153,C153)</f>
        <v/>
      </c>
      <c r="G153" s="17" t="n">
        <v>1.54</v>
      </c>
    </row>
    <row r="154">
      <c r="A154" s="222" t="inlineStr">
        <is>
          <t>$3,000,001-$6,000,000</t>
        </is>
      </c>
      <c r="B154" s="17" t="n">
        <v>5000</v>
      </c>
      <c r="C154" s="17" t="n">
        <v>3000000</v>
      </c>
      <c r="D154" s="17" t="n">
        <v>1.98</v>
      </c>
      <c r="F154">
        <f>CONCATENATE(A154,B154,C154)</f>
        <v/>
      </c>
      <c r="G154" s="17" t="n">
        <v>1.98</v>
      </c>
    </row>
    <row r="155">
      <c r="A155" s="222" t="inlineStr">
        <is>
          <t>$3,000,001-$6,000,000</t>
        </is>
      </c>
      <c r="B155" s="17" t="n">
        <v>5000</v>
      </c>
      <c r="C155" s="17" t="n">
        <v>5000000</v>
      </c>
      <c r="D155" s="17" t="n">
        <v>2.47</v>
      </c>
      <c r="F155">
        <f>CONCATENATE(A155,B155,C155)</f>
        <v/>
      </c>
      <c r="G155" s="17" t="n">
        <v>2.47</v>
      </c>
    </row>
    <row r="156">
      <c r="A156" s="222" t="inlineStr">
        <is>
          <t>$3,000,001-$6,000,000</t>
        </is>
      </c>
      <c r="B156" s="17" t="n">
        <v>10000</v>
      </c>
      <c r="C156" s="17" t="n">
        <v>500000</v>
      </c>
      <c r="D156" s="17" t="n">
        <v>0.77</v>
      </c>
      <c r="F156">
        <f>CONCATENATE(A156,B156,C156)</f>
        <v/>
      </c>
      <c r="G156" s="17" t="n">
        <v>0.77</v>
      </c>
    </row>
    <row r="157">
      <c r="A157" s="222" t="inlineStr">
        <is>
          <t>$3,000,001-$6,000,000</t>
        </is>
      </c>
      <c r="B157" s="17" t="n">
        <v>10000</v>
      </c>
      <c r="C157" s="17" t="n">
        <v>1000000</v>
      </c>
      <c r="D157" s="17" t="n">
        <v>1</v>
      </c>
      <c r="F157">
        <f>CONCATENATE(A157,B157,C157)</f>
        <v/>
      </c>
      <c r="G157" s="17" t="n">
        <v>1</v>
      </c>
    </row>
    <row r="158">
      <c r="A158" s="222" t="inlineStr">
        <is>
          <t>$3,000,001-$6,000,000</t>
        </is>
      </c>
      <c r="B158" s="17" t="n">
        <v>10000</v>
      </c>
      <c r="C158" s="17" t="n">
        <v>2000000</v>
      </c>
      <c r="D158" s="17" t="n">
        <v>1.5</v>
      </c>
      <c r="F158">
        <f>CONCATENATE(A158,B158,C158)</f>
        <v/>
      </c>
      <c r="G158" s="17" t="n">
        <v>1.5</v>
      </c>
    </row>
    <row r="159">
      <c r="A159" s="222" t="inlineStr">
        <is>
          <t>$3,000,001-$6,000,000</t>
        </is>
      </c>
      <c r="B159" s="17" t="n">
        <v>10000</v>
      </c>
      <c r="C159" s="17" t="n">
        <v>3000000</v>
      </c>
      <c r="D159" s="17" t="n">
        <v>1.94</v>
      </c>
      <c r="F159">
        <f>CONCATENATE(A159,B159,C159)</f>
        <v/>
      </c>
      <c r="G159" s="17" t="n">
        <v>1.94</v>
      </c>
    </row>
    <row r="160">
      <c r="A160" s="222" t="inlineStr">
        <is>
          <t>$3,000,001-$6,000,000</t>
        </is>
      </c>
      <c r="B160" s="17" t="n">
        <v>10000</v>
      </c>
      <c r="C160" s="17" t="n">
        <v>5000000</v>
      </c>
      <c r="D160" s="17" t="n">
        <v>2.44</v>
      </c>
      <c r="F160">
        <f>CONCATENATE(A160,B160,C160)</f>
        <v/>
      </c>
      <c r="G160" s="17" t="n">
        <v>2.44</v>
      </c>
    </row>
    <row r="161">
      <c r="A161" s="222" t="inlineStr">
        <is>
          <t>$3,000,001-$6,000,000</t>
        </is>
      </c>
      <c r="B161" s="17" t="n">
        <v>25000</v>
      </c>
      <c r="C161" s="17" t="n">
        <v>500000</v>
      </c>
      <c r="D161" s="17" t="n">
        <v>0.74</v>
      </c>
      <c r="F161">
        <f>CONCATENATE(A161,B161,C161)</f>
        <v/>
      </c>
      <c r="G161" s="17" t="n">
        <v>0.74</v>
      </c>
    </row>
    <row r="162">
      <c r="A162" s="222" t="inlineStr">
        <is>
          <t>$3,000,001-$6,000,000</t>
        </is>
      </c>
      <c r="B162" s="17" t="n">
        <v>25000</v>
      </c>
      <c r="C162" s="17" t="n">
        <v>1000000</v>
      </c>
      <c r="D162" s="17" t="n">
        <v>0.9399999999999999</v>
      </c>
      <c r="F162">
        <f>CONCATENATE(A162,B162,C162)</f>
        <v/>
      </c>
      <c r="G162" s="17" t="n">
        <v>0.9399999999999999</v>
      </c>
    </row>
    <row r="163">
      <c r="A163" s="222" t="inlineStr">
        <is>
          <t>$3,000,001-$6,000,000</t>
        </is>
      </c>
      <c r="B163" s="17" t="n">
        <v>25000</v>
      </c>
      <c r="C163" s="17" t="n">
        <v>2000000</v>
      </c>
      <c r="D163" s="17" t="n">
        <v>1.46</v>
      </c>
      <c r="F163">
        <f>CONCATENATE(A163,B163,C163)</f>
        <v/>
      </c>
      <c r="G163" s="17" t="n">
        <v>1.46</v>
      </c>
    </row>
    <row r="164">
      <c r="A164" s="222" t="inlineStr">
        <is>
          <t>$3,000,001-$6,000,000</t>
        </is>
      </c>
      <c r="B164" s="17" t="n">
        <v>25000</v>
      </c>
      <c r="C164" s="17" t="n">
        <v>3000000</v>
      </c>
      <c r="D164" s="17" t="n">
        <v>1.9</v>
      </c>
      <c r="F164">
        <f>CONCATENATE(A164,B164,C164)</f>
        <v/>
      </c>
      <c r="G164" s="17" t="n">
        <v>1.9</v>
      </c>
    </row>
    <row r="165">
      <c r="A165" s="222" t="inlineStr">
        <is>
          <t>$3,000,001-$6,000,000</t>
        </is>
      </c>
      <c r="B165" s="17" t="n">
        <v>25000</v>
      </c>
      <c r="C165" s="17" t="n">
        <v>5000000</v>
      </c>
      <c r="D165" s="17" t="n">
        <v>2.4</v>
      </c>
      <c r="F165">
        <f>CONCATENATE(A165,B165,C165)</f>
        <v/>
      </c>
      <c r="G165" s="17" t="n">
        <v>2.4</v>
      </c>
    </row>
    <row r="166">
      <c r="A166" s="222" t="inlineStr">
        <is>
          <t>$3,000,001-$6,000,000</t>
        </is>
      </c>
      <c r="B166" s="17" t="n">
        <v>50000</v>
      </c>
      <c r="C166" s="17" t="n">
        <v>500000</v>
      </c>
      <c r="D166" s="17" t="n">
        <v>0.6899999999999999</v>
      </c>
      <c r="F166">
        <f>CONCATENATE(A166,B166,C166)</f>
        <v/>
      </c>
      <c r="G166" s="17" t="n">
        <v>0.6899999999999999</v>
      </c>
    </row>
    <row r="167">
      <c r="A167" s="222" t="inlineStr">
        <is>
          <t>$3,000,001-$6,000,000</t>
        </is>
      </c>
      <c r="B167" s="17" t="n">
        <v>50000</v>
      </c>
      <c r="C167" s="17" t="n">
        <v>1000000</v>
      </c>
      <c r="D167" s="17" t="n">
        <v>0.9</v>
      </c>
      <c r="F167">
        <f>CONCATENATE(A167,B167,C167)</f>
        <v/>
      </c>
      <c r="G167" s="17" t="n">
        <v>0.9</v>
      </c>
    </row>
    <row r="168">
      <c r="A168" s="222" t="inlineStr">
        <is>
          <t>$3,000,001-$6,000,000</t>
        </is>
      </c>
      <c r="B168" s="17" t="n">
        <v>50000</v>
      </c>
      <c r="C168" s="17" t="n">
        <v>2000000</v>
      </c>
      <c r="D168" s="17" t="n">
        <v>1.42</v>
      </c>
      <c r="F168">
        <f>CONCATENATE(A168,B168,C168)</f>
        <v/>
      </c>
      <c r="G168" s="17" t="n">
        <v>1.42</v>
      </c>
    </row>
    <row r="169">
      <c r="A169" s="222" t="inlineStr">
        <is>
          <t>$3,000,001-$6,000,000</t>
        </is>
      </c>
      <c r="B169" s="17" t="n">
        <v>50000</v>
      </c>
      <c r="C169" s="17" t="n">
        <v>3000000</v>
      </c>
      <c r="D169" s="17" t="n">
        <v>1.85</v>
      </c>
      <c r="F169">
        <f>CONCATENATE(A169,B169,C169)</f>
        <v/>
      </c>
      <c r="G169" s="17" t="n">
        <v>1.85</v>
      </c>
    </row>
    <row r="170">
      <c r="A170" s="222" t="inlineStr">
        <is>
          <t>$3,000,001-$6,000,000</t>
        </is>
      </c>
      <c r="B170" s="17" t="n">
        <v>50000</v>
      </c>
      <c r="C170" s="17" t="n">
        <v>5000000</v>
      </c>
      <c r="D170" s="17" t="n">
        <v>2.35</v>
      </c>
      <c r="F170">
        <f>CONCATENATE(A170,B170,C170)</f>
        <v/>
      </c>
      <c r="G170" s="17" t="n">
        <v>2.35</v>
      </c>
    </row>
    <row r="171">
      <c r="A171" s="222" t="inlineStr">
        <is>
          <t>$3,000,001-$6,000,000</t>
        </is>
      </c>
      <c r="B171" s="17" t="n">
        <v>100000</v>
      </c>
      <c r="C171" s="17" t="n">
        <v>500000</v>
      </c>
      <c r="D171" s="17" t="n">
        <v>0.64</v>
      </c>
      <c r="F171">
        <f>CONCATENATE(A171,B171,C171)</f>
        <v/>
      </c>
      <c r="G171" s="17" t="n">
        <v>0.64</v>
      </c>
    </row>
    <row r="172">
      <c r="A172" s="222" t="inlineStr">
        <is>
          <t>$3,000,001-$6,000,000</t>
        </is>
      </c>
      <c r="B172" s="17" t="n">
        <v>100000</v>
      </c>
      <c r="C172" s="17" t="n">
        <v>1000000</v>
      </c>
      <c r="D172" s="17" t="n">
        <v>0.86</v>
      </c>
      <c r="F172">
        <f>CONCATENATE(A172,B172,C172)</f>
        <v/>
      </c>
      <c r="G172" s="17" t="n">
        <v>0.86</v>
      </c>
    </row>
    <row r="173">
      <c r="A173" s="222" t="inlineStr">
        <is>
          <t>$3,000,001-$6,000,000</t>
        </is>
      </c>
      <c r="B173" s="17" t="n">
        <v>100000</v>
      </c>
      <c r="C173" s="17" t="n">
        <v>2000000</v>
      </c>
      <c r="D173" s="17" t="n">
        <v>1.36</v>
      </c>
      <c r="F173">
        <f>CONCATENATE(A173,B173,C173)</f>
        <v/>
      </c>
      <c r="G173" s="17" t="n">
        <v>1.36</v>
      </c>
    </row>
    <row r="174">
      <c r="A174" s="222" t="inlineStr">
        <is>
          <t>$3,000,001-$6,000,000</t>
        </is>
      </c>
      <c r="B174" s="17" t="n">
        <v>100000</v>
      </c>
      <c r="C174" s="17" t="n">
        <v>3000000</v>
      </c>
      <c r="D174" s="17" t="n">
        <v>1.8</v>
      </c>
      <c r="F174">
        <f>CONCATENATE(A174,B174,C174)</f>
        <v/>
      </c>
      <c r="G174" s="17" t="n">
        <v>1.8</v>
      </c>
    </row>
    <row r="175">
      <c r="A175" s="222" t="inlineStr">
        <is>
          <t>$3,000,001-$6,000,000</t>
        </is>
      </c>
      <c r="B175" s="17" t="n">
        <v>100000</v>
      </c>
      <c r="C175" s="17" t="n">
        <v>5000000</v>
      </c>
      <c r="D175" s="17" t="n">
        <v>2.29</v>
      </c>
      <c r="F175">
        <f>CONCATENATE(A175,B175,C175)</f>
        <v/>
      </c>
      <c r="G175" s="17" t="n">
        <v>2.29</v>
      </c>
    </row>
    <row r="176">
      <c r="A176" s="220" t="inlineStr">
        <is>
          <t>$6,000,001-$10,000,000</t>
        </is>
      </c>
      <c r="B176" s="12" t="n">
        <v>1000</v>
      </c>
      <c r="C176" s="12" t="n">
        <v>500000</v>
      </c>
      <c r="D176" s="12" t="n">
        <v>99</v>
      </c>
      <c r="F176">
        <f>CONCATENATE(A176,B176,C176)</f>
        <v/>
      </c>
      <c r="G176" s="12" t="n">
        <v>99</v>
      </c>
    </row>
    <row r="177">
      <c r="A177" s="220" t="inlineStr">
        <is>
          <t>$6,000,001-$10,000,000</t>
        </is>
      </c>
      <c r="B177" s="12" t="n">
        <v>1000</v>
      </c>
      <c r="C177" s="12" t="n">
        <v>1000000</v>
      </c>
      <c r="D177" s="12" t="n">
        <v>99</v>
      </c>
      <c r="F177">
        <f>CONCATENATE(A177,B177,C177)</f>
        <v/>
      </c>
      <c r="G177" s="12" t="n">
        <v>99</v>
      </c>
    </row>
    <row r="178">
      <c r="A178" s="220" t="inlineStr">
        <is>
          <t>$6,000,001-$10,000,000</t>
        </is>
      </c>
      <c r="B178" s="12" t="n">
        <v>1000</v>
      </c>
      <c r="C178" s="12" t="n">
        <v>2000000</v>
      </c>
      <c r="D178" s="12" t="n">
        <v>99</v>
      </c>
      <c r="F178">
        <f>CONCATENATE(A178,B178,C178)</f>
        <v/>
      </c>
      <c r="G178" s="12" t="n">
        <v>99</v>
      </c>
    </row>
    <row r="179">
      <c r="A179" s="220" t="inlineStr">
        <is>
          <t>$6,000,001-$10,000,000</t>
        </is>
      </c>
      <c r="B179" s="12" t="n">
        <v>1000</v>
      </c>
      <c r="C179" s="12" t="n">
        <v>3000000</v>
      </c>
      <c r="D179" s="12" t="n">
        <v>99</v>
      </c>
      <c r="F179">
        <f>CONCATENATE(A179,B179,C179)</f>
        <v/>
      </c>
      <c r="G179" s="12" t="n">
        <v>99</v>
      </c>
    </row>
    <row r="180">
      <c r="A180" s="220" t="inlineStr">
        <is>
          <t>$6,000,001-$10,000,000</t>
        </is>
      </c>
      <c r="B180" s="12" t="n">
        <v>1000</v>
      </c>
      <c r="C180" s="12" t="n">
        <v>5000000</v>
      </c>
      <c r="D180" s="12" t="n">
        <v>99</v>
      </c>
      <c r="F180">
        <f>CONCATENATE(A180,B180,C180)</f>
        <v/>
      </c>
      <c r="G180" s="12" t="n">
        <v>99</v>
      </c>
    </row>
    <row r="181">
      <c r="A181" s="220" t="inlineStr">
        <is>
          <t>$6,000,001-$10,000,000</t>
        </is>
      </c>
      <c r="B181" s="12" t="n">
        <v>2500</v>
      </c>
      <c r="C181" s="12" t="n">
        <v>500000</v>
      </c>
      <c r="D181" s="12" t="n">
        <v>0.9</v>
      </c>
      <c r="F181">
        <f>CONCATENATE(A181,B181,C181)</f>
        <v/>
      </c>
      <c r="G181" s="12" t="n">
        <v>0.9</v>
      </c>
    </row>
    <row r="182">
      <c r="A182" s="220" t="inlineStr">
        <is>
          <t>$6,000,001-$10,000,000</t>
        </is>
      </c>
      <c r="B182" s="12" t="n">
        <v>2500</v>
      </c>
      <c r="C182" s="12" t="n">
        <v>1000000</v>
      </c>
      <c r="D182" s="12" t="n">
        <v>1.15</v>
      </c>
      <c r="F182">
        <f>CONCATENATE(A182,B182,C182)</f>
        <v/>
      </c>
      <c r="G182" s="12" t="n">
        <v>1.15</v>
      </c>
    </row>
    <row r="183">
      <c r="A183" s="220" t="inlineStr">
        <is>
          <t>$6,000,001-$10,000,000</t>
        </is>
      </c>
      <c r="B183" s="12" t="n">
        <v>2500</v>
      </c>
      <c r="C183" s="12" t="n">
        <v>2000000</v>
      </c>
      <c r="D183" s="12" t="n">
        <v>1.67</v>
      </c>
      <c r="F183">
        <f>CONCATENATE(A183,B183,C183)</f>
        <v/>
      </c>
      <c r="G183" s="12" t="n">
        <v>1.67</v>
      </c>
    </row>
    <row r="184">
      <c r="A184" s="220" t="inlineStr">
        <is>
          <t>$6,000,001-$10,000,000</t>
        </is>
      </c>
      <c r="B184" s="12" t="n">
        <v>2500</v>
      </c>
      <c r="C184" s="12" t="n">
        <v>3000000</v>
      </c>
      <c r="D184" s="12" t="n">
        <v>2.1</v>
      </c>
      <c r="F184">
        <f>CONCATENATE(A184,B184,C184)</f>
        <v/>
      </c>
      <c r="G184" s="12" t="n">
        <v>2.1</v>
      </c>
    </row>
    <row r="185">
      <c r="A185" s="220" t="inlineStr">
        <is>
          <t>$6,000,001-$10,000,000</t>
        </is>
      </c>
      <c r="B185" s="12" t="n">
        <v>2500</v>
      </c>
      <c r="C185" s="12" t="n">
        <v>5000000</v>
      </c>
      <c r="D185" s="12" t="n">
        <v>2.6</v>
      </c>
      <c r="F185">
        <f>CONCATENATE(A185,B185,C185)</f>
        <v/>
      </c>
      <c r="G185" s="12" t="n">
        <v>2.6</v>
      </c>
    </row>
    <row r="186">
      <c r="A186" s="220" t="inlineStr">
        <is>
          <t>$6,000,001-$10,000,000</t>
        </is>
      </c>
      <c r="B186" s="12" t="n">
        <v>5000</v>
      </c>
      <c r="C186" s="12" t="n">
        <v>500000</v>
      </c>
      <c r="D186" s="12" t="n">
        <v>0.85</v>
      </c>
      <c r="F186">
        <f>CONCATENATE(A186,B186,C186)</f>
        <v/>
      </c>
      <c r="G186" s="12" t="n">
        <v>0.85</v>
      </c>
    </row>
    <row r="187">
      <c r="A187" s="220" t="inlineStr">
        <is>
          <t>$6,000,001-$10,000,000</t>
        </is>
      </c>
      <c r="B187" s="12" t="n">
        <v>5000</v>
      </c>
      <c r="C187" s="12" t="n">
        <v>1000000</v>
      </c>
      <c r="D187" s="12" t="n">
        <v>1.09</v>
      </c>
      <c r="F187">
        <f>CONCATENATE(A187,B187,C187)</f>
        <v/>
      </c>
      <c r="G187" s="12" t="n">
        <v>1.09</v>
      </c>
    </row>
    <row r="188">
      <c r="A188" s="220" t="inlineStr">
        <is>
          <t>$6,000,001-$10,000,000</t>
        </is>
      </c>
      <c r="B188" s="12" t="n">
        <v>5000</v>
      </c>
      <c r="C188" s="12" t="n">
        <v>2000000</v>
      </c>
      <c r="D188" s="12" t="n">
        <v>1.59</v>
      </c>
      <c r="F188">
        <f>CONCATENATE(A188,B188,C188)</f>
        <v/>
      </c>
      <c r="G188" s="12" t="n">
        <v>1.59</v>
      </c>
    </row>
    <row r="189">
      <c r="A189" s="220" t="inlineStr">
        <is>
          <t>$6,000,001-$10,000,000</t>
        </is>
      </c>
      <c r="B189" s="12" t="n">
        <v>5000</v>
      </c>
      <c r="C189" s="12" t="n">
        <v>3000000</v>
      </c>
      <c r="D189" s="12" t="n">
        <v>2.03</v>
      </c>
      <c r="F189">
        <f>CONCATENATE(A189,B189,C189)</f>
        <v/>
      </c>
      <c r="G189" s="12" t="n">
        <v>2.03</v>
      </c>
    </row>
    <row r="190">
      <c r="A190" s="220" t="inlineStr">
        <is>
          <t>$6,000,001-$10,000,000</t>
        </is>
      </c>
      <c r="B190" s="12" t="n">
        <v>5000</v>
      </c>
      <c r="C190" s="12" t="n">
        <v>5000000</v>
      </c>
      <c r="D190" s="12" t="n">
        <v>2.52</v>
      </c>
      <c r="F190">
        <f>CONCATENATE(A190,B190,C190)</f>
        <v/>
      </c>
      <c r="G190" s="12" t="n">
        <v>2.52</v>
      </c>
    </row>
    <row r="191">
      <c r="A191" s="220" t="inlineStr">
        <is>
          <t>$6,000,001-$10,000,000</t>
        </is>
      </c>
      <c r="B191" s="12" t="n">
        <v>10000</v>
      </c>
      <c r="C191" s="12" t="n">
        <v>500000</v>
      </c>
      <c r="D191" s="12" t="n">
        <v>0.8100000000000001</v>
      </c>
      <c r="F191">
        <f>CONCATENATE(A191,B191,C191)</f>
        <v/>
      </c>
      <c r="G191" s="12" t="n">
        <v>0.8100000000000001</v>
      </c>
    </row>
    <row r="192">
      <c r="A192" s="220" t="inlineStr">
        <is>
          <t>$6,000,001-$10,000,000</t>
        </is>
      </c>
      <c r="B192" s="12" t="n">
        <v>10000</v>
      </c>
      <c r="C192" s="12" t="n">
        <v>1000000</v>
      </c>
      <c r="D192" s="12" t="n">
        <v>1.04</v>
      </c>
      <c r="F192">
        <f>CONCATENATE(A192,B192,C192)</f>
        <v/>
      </c>
      <c r="G192" s="12" t="n">
        <v>1.04</v>
      </c>
    </row>
    <row r="193">
      <c r="A193" s="220" t="inlineStr">
        <is>
          <t>$6,000,001-$10,000,000</t>
        </is>
      </c>
      <c r="B193" s="12" t="n">
        <v>10000</v>
      </c>
      <c r="C193" s="12" t="n">
        <v>2000000</v>
      </c>
      <c r="D193" s="12" t="n">
        <v>1.54</v>
      </c>
      <c r="F193">
        <f>CONCATENATE(A193,B193,C193)</f>
        <v/>
      </c>
      <c r="G193" s="12" t="n">
        <v>1.54</v>
      </c>
    </row>
    <row r="194">
      <c r="A194" s="220" t="inlineStr">
        <is>
          <t>$6,000,001-$10,000,000</t>
        </is>
      </c>
      <c r="B194" s="12" t="n">
        <v>10000</v>
      </c>
      <c r="C194" s="12" t="n">
        <v>3000000</v>
      </c>
      <c r="D194" s="12" t="n">
        <v>1.98</v>
      </c>
      <c r="F194">
        <f>CONCATENATE(A194,B194,C194)</f>
        <v/>
      </c>
      <c r="G194" s="12" t="n">
        <v>1.98</v>
      </c>
    </row>
    <row r="195">
      <c r="A195" s="220" t="inlineStr">
        <is>
          <t>$6,000,001-$10,000,000</t>
        </is>
      </c>
      <c r="B195" s="12" t="n">
        <v>10000</v>
      </c>
      <c r="C195" s="12" t="n">
        <v>5000000</v>
      </c>
      <c r="D195" s="12" t="n">
        <v>2.48</v>
      </c>
      <c r="F195">
        <f>CONCATENATE(A195,B195,C195)</f>
        <v/>
      </c>
      <c r="G195" s="12" t="n">
        <v>2.48</v>
      </c>
    </row>
    <row r="196">
      <c r="A196" s="220" t="inlineStr">
        <is>
          <t>$6,000,001-$10,000,000</t>
        </is>
      </c>
      <c r="B196" s="12" t="n">
        <v>25000</v>
      </c>
      <c r="C196" s="12" t="n">
        <v>500000</v>
      </c>
      <c r="D196" s="12" t="n">
        <v>0.78</v>
      </c>
      <c r="F196">
        <f>CONCATENATE(A196,B196,C196)</f>
        <v/>
      </c>
      <c r="G196" s="12" t="n">
        <v>0.78</v>
      </c>
    </row>
    <row r="197">
      <c r="A197" s="220" t="inlineStr">
        <is>
          <t>$6,000,001-$10,000,000</t>
        </is>
      </c>
      <c r="B197" s="12" t="n">
        <v>25000</v>
      </c>
      <c r="C197" s="12" t="n">
        <v>1000000</v>
      </c>
      <c r="D197" s="12" t="n">
        <v>0.98</v>
      </c>
      <c r="F197">
        <f>CONCATENATE(A197,B197,C197)</f>
        <v/>
      </c>
      <c r="G197" s="12" t="n">
        <v>0.98</v>
      </c>
    </row>
    <row r="198">
      <c r="A198" s="220" t="inlineStr">
        <is>
          <t>$6,000,001-$10,000,000</t>
        </is>
      </c>
      <c r="B198" s="12" t="n">
        <v>25000</v>
      </c>
      <c r="C198" s="12" t="n">
        <v>2000000</v>
      </c>
      <c r="D198" s="12" t="n">
        <v>1.5</v>
      </c>
      <c r="F198">
        <f>CONCATENATE(A198,B198,C198)</f>
        <v/>
      </c>
      <c r="G198" s="12" t="n">
        <v>1.5</v>
      </c>
    </row>
    <row r="199">
      <c r="A199" s="220" t="inlineStr">
        <is>
          <t>$6,000,001-$10,000,000</t>
        </is>
      </c>
      <c r="B199" s="12" t="n">
        <v>25000</v>
      </c>
      <c r="C199" s="12" t="n">
        <v>3000000</v>
      </c>
      <c r="D199" s="12" t="n">
        <v>1.94</v>
      </c>
      <c r="F199">
        <f>CONCATENATE(A199,B199,C199)</f>
        <v/>
      </c>
      <c r="G199" s="12" t="n">
        <v>1.94</v>
      </c>
    </row>
    <row r="200">
      <c r="A200" s="220" t="inlineStr">
        <is>
          <t>$6,000,001-$10,000,000</t>
        </is>
      </c>
      <c r="B200" s="12" t="n">
        <v>25000</v>
      </c>
      <c r="C200" s="12" t="n">
        <v>5000000</v>
      </c>
      <c r="D200" s="12" t="n">
        <v>2.44</v>
      </c>
      <c r="F200">
        <f>CONCATENATE(A200,B200,C200)</f>
        <v/>
      </c>
      <c r="G200" s="12" t="n">
        <v>2.44</v>
      </c>
    </row>
    <row r="201">
      <c r="A201" s="220" t="inlineStr">
        <is>
          <t>$6,000,001-$10,000,000</t>
        </is>
      </c>
      <c r="B201" s="12" t="n">
        <v>50000</v>
      </c>
      <c r="C201" s="12" t="n">
        <v>500000</v>
      </c>
      <c r="D201" s="12" t="n">
        <v>0.73</v>
      </c>
      <c r="F201">
        <f>CONCATENATE(A201,B201,C201)</f>
        <v/>
      </c>
      <c r="G201" s="12" t="n">
        <v>0.73</v>
      </c>
    </row>
    <row r="202">
      <c r="A202" s="220" t="inlineStr">
        <is>
          <t>$6,000,001-$10,000,000</t>
        </is>
      </c>
      <c r="B202" s="12" t="n">
        <v>50000</v>
      </c>
      <c r="C202" s="12" t="n">
        <v>1000000</v>
      </c>
      <c r="D202" s="12" t="n">
        <v>0.9399999999999999</v>
      </c>
      <c r="F202">
        <f>CONCATENATE(A202,B202,C202)</f>
        <v/>
      </c>
      <c r="G202" s="12" t="n">
        <v>0.9399999999999999</v>
      </c>
    </row>
    <row r="203">
      <c r="A203" s="220" t="inlineStr">
        <is>
          <t>$6,000,001-$10,000,000</t>
        </is>
      </c>
      <c r="B203" s="12" t="n">
        <v>50000</v>
      </c>
      <c r="C203" s="12" t="n">
        <v>2000000</v>
      </c>
      <c r="D203" s="12" t="n">
        <v>1.46</v>
      </c>
      <c r="F203">
        <f>CONCATENATE(A203,B203,C203)</f>
        <v/>
      </c>
      <c r="G203" s="12" t="n">
        <v>1.46</v>
      </c>
    </row>
    <row r="204">
      <c r="A204" s="220" t="inlineStr">
        <is>
          <t>$6,000,001-$10,000,000</t>
        </is>
      </c>
      <c r="B204" s="12" t="n">
        <v>50000</v>
      </c>
      <c r="C204" s="12" t="n">
        <v>3000000</v>
      </c>
      <c r="D204" s="12" t="n">
        <v>1.89</v>
      </c>
      <c r="F204">
        <f>CONCATENATE(A204,B204,C204)</f>
        <v/>
      </c>
      <c r="G204" s="12" t="n">
        <v>1.89</v>
      </c>
    </row>
    <row r="205">
      <c r="A205" s="220" t="inlineStr">
        <is>
          <t>$6,000,001-$10,000,000</t>
        </is>
      </c>
      <c r="B205" s="12" t="n">
        <v>50000</v>
      </c>
      <c r="C205" s="12" t="n">
        <v>5000000</v>
      </c>
      <c r="D205" s="12" t="n">
        <v>2.39</v>
      </c>
      <c r="F205">
        <f>CONCATENATE(A205,B205,C205)</f>
        <v/>
      </c>
      <c r="G205" s="12" t="n">
        <v>2.39</v>
      </c>
    </row>
    <row r="206">
      <c r="A206" s="220" t="inlineStr">
        <is>
          <t>$6,000,001-$10,000,000</t>
        </is>
      </c>
      <c r="B206" s="12" t="n">
        <v>100000</v>
      </c>
      <c r="C206" s="12" t="n">
        <v>500000</v>
      </c>
      <c r="D206" s="12" t="n">
        <v>0.68</v>
      </c>
      <c r="F206">
        <f>CONCATENATE(A206,B206,C206)</f>
        <v/>
      </c>
      <c r="G206" s="12" t="n">
        <v>0.68</v>
      </c>
    </row>
    <row r="207">
      <c r="A207" s="220" t="inlineStr">
        <is>
          <t>$6,000,001-$10,000,000</t>
        </is>
      </c>
      <c r="B207" s="12" t="n">
        <v>100000</v>
      </c>
      <c r="C207" s="12" t="n">
        <v>1000000</v>
      </c>
      <c r="D207" s="12" t="n">
        <v>0.9</v>
      </c>
      <c r="F207">
        <f>CONCATENATE(A207,B207,C207)</f>
        <v/>
      </c>
      <c r="G207" s="12" t="n">
        <v>0.9</v>
      </c>
    </row>
    <row r="208">
      <c r="A208" s="220" t="inlineStr">
        <is>
          <t>$6,000,001-$10,000,000</t>
        </is>
      </c>
      <c r="B208" s="12" t="n">
        <v>100000</v>
      </c>
      <c r="C208" s="12" t="n">
        <v>2000000</v>
      </c>
      <c r="D208" s="12" t="n">
        <v>1.4</v>
      </c>
      <c r="F208">
        <f>CONCATENATE(A208,B208,C208)</f>
        <v/>
      </c>
      <c r="G208" s="12" t="n">
        <v>1.4</v>
      </c>
    </row>
    <row r="209">
      <c r="A209" s="220" t="inlineStr">
        <is>
          <t>$6,000,001-$10,000,000</t>
        </is>
      </c>
      <c r="B209" s="12" t="n">
        <v>100000</v>
      </c>
      <c r="C209" s="12" t="n">
        <v>3000000</v>
      </c>
      <c r="D209" s="12" t="n">
        <v>1.84</v>
      </c>
      <c r="F209">
        <f>CONCATENATE(A209,B209,C209)</f>
        <v/>
      </c>
      <c r="G209" s="12" t="n">
        <v>1.84</v>
      </c>
    </row>
    <row r="210">
      <c r="A210" s="220" t="inlineStr">
        <is>
          <t>$6,000,001-$10,000,000</t>
        </is>
      </c>
      <c r="B210" s="12" t="n">
        <v>100000</v>
      </c>
      <c r="C210" s="12" t="n">
        <v>5000000</v>
      </c>
      <c r="D210" s="12" t="n">
        <v>2.34</v>
      </c>
      <c r="F210">
        <f>CONCATENATE(A210,B210,C210)</f>
        <v/>
      </c>
      <c r="G210" s="12" t="n">
        <v>2.34</v>
      </c>
    </row>
    <row r="211">
      <c r="A211" s="188" t="inlineStr">
        <is>
          <t>$10,000,001-$20,000,000</t>
        </is>
      </c>
      <c r="B211" s="13" t="n">
        <v>1000</v>
      </c>
      <c r="C211" s="13" t="n">
        <v>500000</v>
      </c>
      <c r="D211" s="13" t="n">
        <v>99</v>
      </c>
      <c r="F211">
        <f>CONCATENATE(A211,B211,C211)</f>
        <v/>
      </c>
      <c r="G211" s="13" t="n">
        <v>99</v>
      </c>
    </row>
    <row r="212">
      <c r="A212" s="188" t="inlineStr">
        <is>
          <t>$10,000,001-$20,000,000</t>
        </is>
      </c>
      <c r="B212" s="13" t="n">
        <v>1000</v>
      </c>
      <c r="C212" s="13" t="n">
        <v>1000000</v>
      </c>
      <c r="D212" s="13" t="n">
        <v>99</v>
      </c>
      <c r="F212">
        <f>CONCATENATE(A212,B212,C212)</f>
        <v/>
      </c>
      <c r="G212" s="13" t="n">
        <v>99</v>
      </c>
    </row>
    <row r="213">
      <c r="A213" s="188" t="inlineStr">
        <is>
          <t>$10,000,001-$20,000,000</t>
        </is>
      </c>
      <c r="B213" s="13" t="n">
        <v>1000</v>
      </c>
      <c r="C213" s="13" t="n">
        <v>2000000</v>
      </c>
      <c r="D213" s="13" t="n">
        <v>99</v>
      </c>
      <c r="F213">
        <f>CONCATENATE(A213,B213,C213)</f>
        <v/>
      </c>
      <c r="G213" s="13" t="n">
        <v>99</v>
      </c>
    </row>
    <row r="214">
      <c r="A214" s="188" t="inlineStr">
        <is>
          <t>$10,000,001-$20,000,000</t>
        </is>
      </c>
      <c r="B214" s="13" t="n">
        <v>1000</v>
      </c>
      <c r="C214" s="13" t="n">
        <v>3000000</v>
      </c>
      <c r="D214" s="13" t="n">
        <v>99</v>
      </c>
      <c r="F214">
        <f>CONCATENATE(A214,B214,C214)</f>
        <v/>
      </c>
      <c r="G214" s="13" t="n">
        <v>99</v>
      </c>
    </row>
    <row r="215">
      <c r="A215" s="188" t="inlineStr">
        <is>
          <t>$10,000,001-$20,000,000</t>
        </is>
      </c>
      <c r="B215" s="13" t="n">
        <v>1000</v>
      </c>
      <c r="C215" s="13" t="n">
        <v>5000000</v>
      </c>
      <c r="D215" s="13" t="n">
        <v>99</v>
      </c>
      <c r="F215">
        <f>CONCATENATE(A215,B215,C215)</f>
        <v/>
      </c>
      <c r="G215" s="13" t="n">
        <v>99</v>
      </c>
    </row>
    <row r="216">
      <c r="A216" s="188" t="inlineStr">
        <is>
          <t>$10,000,001-$20,000,000</t>
        </is>
      </c>
      <c r="B216" s="13" t="n">
        <v>2500</v>
      </c>
      <c r="C216" s="13" t="n">
        <v>500000</v>
      </c>
      <c r="D216" s="13" t="n">
        <v>0.96</v>
      </c>
      <c r="F216">
        <f>CONCATENATE(A216,B216,C216)</f>
        <v/>
      </c>
      <c r="G216" s="13" t="n">
        <v>0.96</v>
      </c>
    </row>
    <row r="217">
      <c r="A217" s="188" t="inlineStr">
        <is>
          <t>$10,000,001-$20,000,000</t>
        </is>
      </c>
      <c r="B217" s="13" t="n">
        <v>2500</v>
      </c>
      <c r="C217" s="13" t="n">
        <v>1000000</v>
      </c>
      <c r="D217" s="13" t="n">
        <v>1.21</v>
      </c>
      <c r="F217">
        <f>CONCATENATE(A217,B217,C217)</f>
        <v/>
      </c>
      <c r="G217" s="13" t="n">
        <v>1.21</v>
      </c>
    </row>
    <row r="218">
      <c r="A218" s="188" t="inlineStr">
        <is>
          <t>$10,000,001-$20,000,000</t>
        </is>
      </c>
      <c r="B218" s="13" t="n">
        <v>2500</v>
      </c>
      <c r="C218" s="13" t="n">
        <v>2000000</v>
      </c>
      <c r="D218" s="13" t="n">
        <v>1.73</v>
      </c>
      <c r="F218">
        <f>CONCATENATE(A218,B218,C218)</f>
        <v/>
      </c>
      <c r="G218" s="13" t="n">
        <v>1.73</v>
      </c>
    </row>
    <row r="219">
      <c r="A219" s="188" t="inlineStr">
        <is>
          <t>$10,000,001-$20,000,000</t>
        </is>
      </c>
      <c r="B219" s="13" t="n">
        <v>2500</v>
      </c>
      <c r="C219" s="13" t="n">
        <v>3000000</v>
      </c>
      <c r="D219" s="13" t="n">
        <v>2.16</v>
      </c>
      <c r="F219">
        <f>CONCATENATE(A219,B219,C219)</f>
        <v/>
      </c>
      <c r="G219" s="13" t="n">
        <v>2.16</v>
      </c>
    </row>
    <row r="220">
      <c r="A220" s="188" t="inlineStr">
        <is>
          <t>$10,000,001-$20,000,000</t>
        </is>
      </c>
      <c r="B220" s="13" t="n">
        <v>2500</v>
      </c>
      <c r="C220" s="13" t="n">
        <v>5000000</v>
      </c>
      <c r="D220" s="13" t="n">
        <v>2.66</v>
      </c>
      <c r="F220">
        <f>CONCATENATE(A220,B220,C220)</f>
        <v/>
      </c>
      <c r="G220" s="13" t="n">
        <v>2.66</v>
      </c>
    </row>
    <row r="221">
      <c r="A221" s="188" t="inlineStr">
        <is>
          <t>$10,000,001-$20,000,000</t>
        </is>
      </c>
      <c r="B221" s="13" t="n">
        <v>5000</v>
      </c>
      <c r="C221" s="13" t="n">
        <v>500000</v>
      </c>
      <c r="D221" s="13" t="n">
        <v>0.91</v>
      </c>
      <c r="F221">
        <f>CONCATENATE(A221,B221,C221)</f>
        <v/>
      </c>
      <c r="G221" s="13" t="n">
        <v>0.91</v>
      </c>
    </row>
    <row r="222">
      <c r="A222" s="188" t="inlineStr">
        <is>
          <t>$10,000,001-$20,000,000</t>
        </is>
      </c>
      <c r="B222" s="13" t="n">
        <v>5000</v>
      </c>
      <c r="C222" s="13" t="n">
        <v>1000000</v>
      </c>
      <c r="D222" s="13" t="n">
        <v>1.15</v>
      </c>
      <c r="F222">
        <f>CONCATENATE(A222,B222,C222)</f>
        <v/>
      </c>
      <c r="G222" s="13" t="n">
        <v>1.15</v>
      </c>
    </row>
    <row r="223">
      <c r="A223" s="188" t="inlineStr">
        <is>
          <t>$10,000,001-$20,000,000</t>
        </is>
      </c>
      <c r="B223" s="13" t="n">
        <v>5000</v>
      </c>
      <c r="C223" s="13" t="n">
        <v>2000000</v>
      </c>
      <c r="D223" s="13" t="n">
        <v>1.65</v>
      </c>
      <c r="F223">
        <f>CONCATENATE(A223,B223,C223)</f>
        <v/>
      </c>
      <c r="G223" s="13" t="n">
        <v>1.65</v>
      </c>
    </row>
    <row r="224">
      <c r="A224" s="188" t="inlineStr">
        <is>
          <t>$10,000,001-$20,000,000</t>
        </is>
      </c>
      <c r="B224" s="13" t="n">
        <v>5000</v>
      </c>
      <c r="C224" s="13" t="n">
        <v>3000000</v>
      </c>
      <c r="D224" s="13" t="n">
        <v>2.09</v>
      </c>
      <c r="F224">
        <f>CONCATENATE(A224,B224,C224)</f>
        <v/>
      </c>
      <c r="G224" s="13" t="n">
        <v>2.09</v>
      </c>
    </row>
    <row r="225">
      <c r="A225" s="188" t="inlineStr">
        <is>
          <t>$10,000,001-$20,000,000</t>
        </is>
      </c>
      <c r="B225" s="13" t="n">
        <v>5000</v>
      </c>
      <c r="C225" s="13" t="n">
        <v>5000000</v>
      </c>
      <c r="D225" s="13" t="n">
        <v>2.58</v>
      </c>
      <c r="F225">
        <f>CONCATENATE(A225,B225,C225)</f>
        <v/>
      </c>
      <c r="G225" s="13" t="n">
        <v>2.58</v>
      </c>
    </row>
    <row r="226">
      <c r="A226" s="188" t="inlineStr">
        <is>
          <t>$10,000,001-$20,000,000</t>
        </is>
      </c>
      <c r="B226" s="13" t="n">
        <v>10000</v>
      </c>
      <c r="C226" s="13" t="n">
        <v>500000</v>
      </c>
      <c r="D226" s="13" t="n">
        <v>0.86</v>
      </c>
      <c r="F226">
        <f>CONCATENATE(A226,B226,C226)</f>
        <v/>
      </c>
      <c r="G226" s="13" t="n">
        <v>0.86</v>
      </c>
    </row>
    <row r="227">
      <c r="A227" s="188" t="inlineStr">
        <is>
          <t>$10,000,001-$20,000,000</t>
        </is>
      </c>
      <c r="B227" s="13" t="n">
        <v>10000</v>
      </c>
      <c r="C227" s="13" t="n">
        <v>1000000</v>
      </c>
      <c r="D227" s="13" t="n">
        <v>1.09</v>
      </c>
      <c r="F227">
        <f>CONCATENATE(A227,B227,C227)</f>
        <v/>
      </c>
      <c r="G227" s="13" t="n">
        <v>1.09</v>
      </c>
    </row>
    <row r="228">
      <c r="A228" s="188" t="inlineStr">
        <is>
          <t>$10,000,001-$20,000,000</t>
        </is>
      </c>
      <c r="B228" s="13" t="n">
        <v>10000</v>
      </c>
      <c r="C228" s="13" t="n">
        <v>2000000</v>
      </c>
      <c r="D228" s="13" t="n">
        <v>1.59</v>
      </c>
      <c r="F228">
        <f>CONCATENATE(A228,B228,C228)</f>
        <v/>
      </c>
      <c r="G228" s="13" t="n">
        <v>1.59</v>
      </c>
    </row>
    <row r="229">
      <c r="A229" s="188" t="inlineStr">
        <is>
          <t>$10,000,001-$20,000,000</t>
        </is>
      </c>
      <c r="B229" s="13" t="n">
        <v>10000</v>
      </c>
      <c r="C229" s="13" t="n">
        <v>3000000</v>
      </c>
      <c r="D229" s="13" t="n">
        <v>2.03</v>
      </c>
      <c r="F229">
        <f>CONCATENATE(A229,B229,C229)</f>
        <v/>
      </c>
      <c r="G229" s="13" t="n">
        <v>2.03</v>
      </c>
    </row>
    <row r="230">
      <c r="A230" s="188" t="inlineStr">
        <is>
          <t>$10,000,001-$20,000,000</t>
        </is>
      </c>
      <c r="B230" s="13" t="n">
        <v>10000</v>
      </c>
      <c r="C230" s="13" t="n">
        <v>5000000</v>
      </c>
      <c r="D230" s="13" t="n">
        <v>2.53</v>
      </c>
      <c r="F230">
        <f>CONCATENATE(A230,B230,C230)</f>
        <v/>
      </c>
      <c r="G230" s="13" t="n">
        <v>2.53</v>
      </c>
    </row>
    <row r="231">
      <c r="A231" s="188" t="inlineStr">
        <is>
          <t>$10,000,001-$20,000,000</t>
        </is>
      </c>
      <c r="B231" s="13" t="n">
        <v>25000</v>
      </c>
      <c r="C231" s="13" t="n">
        <v>500000</v>
      </c>
      <c r="D231" s="13" t="n">
        <v>0.82</v>
      </c>
      <c r="F231">
        <f>CONCATENATE(A231,B231,C231)</f>
        <v/>
      </c>
      <c r="G231" s="13" t="n">
        <v>0.82</v>
      </c>
    </row>
    <row r="232">
      <c r="A232" s="188" t="inlineStr">
        <is>
          <t>$10,000,001-$20,000,000</t>
        </is>
      </c>
      <c r="B232" s="13" t="n">
        <v>25000</v>
      </c>
      <c r="C232" s="13" t="n">
        <v>1000000</v>
      </c>
      <c r="D232" s="13" t="n">
        <v>1.02</v>
      </c>
      <c r="F232">
        <f>CONCATENATE(A232,B232,C232)</f>
        <v/>
      </c>
      <c r="G232" s="13" t="n">
        <v>1.02</v>
      </c>
    </row>
    <row r="233">
      <c r="A233" s="188" t="inlineStr">
        <is>
          <t>$10,000,001-$20,000,000</t>
        </is>
      </c>
      <c r="B233" s="13" t="n">
        <v>25000</v>
      </c>
      <c r="C233" s="13" t="n">
        <v>2000000</v>
      </c>
      <c r="D233" s="13" t="n">
        <v>1.54</v>
      </c>
      <c r="F233">
        <f>CONCATENATE(A233,B233,C233)</f>
        <v/>
      </c>
      <c r="G233" s="13" t="n">
        <v>1.54</v>
      </c>
    </row>
    <row r="234">
      <c r="A234" s="188" t="inlineStr">
        <is>
          <t>$10,000,001-$20,000,000</t>
        </is>
      </c>
      <c r="B234" s="13" t="n">
        <v>25000</v>
      </c>
      <c r="C234" s="13" t="n">
        <v>3000000</v>
      </c>
      <c r="D234" s="13" t="n">
        <v>1.98</v>
      </c>
      <c r="F234">
        <f>CONCATENATE(A234,B234,C234)</f>
        <v/>
      </c>
      <c r="G234" s="13" t="n">
        <v>1.98</v>
      </c>
    </row>
    <row r="235">
      <c r="A235" s="188" t="inlineStr">
        <is>
          <t>$10,000,001-$20,000,000</t>
        </is>
      </c>
      <c r="B235" s="13" t="n">
        <v>25000</v>
      </c>
      <c r="C235" s="13" t="n">
        <v>5000000</v>
      </c>
      <c r="D235" s="13" t="n">
        <v>2.48</v>
      </c>
      <c r="F235">
        <f>CONCATENATE(A235,B235,C235)</f>
        <v/>
      </c>
      <c r="G235" s="13" t="n">
        <v>2.48</v>
      </c>
    </row>
    <row r="236">
      <c r="A236" s="188" t="inlineStr">
        <is>
          <t>$10,000,001-$20,000,000</t>
        </is>
      </c>
      <c r="B236" s="13" t="n">
        <v>50000</v>
      </c>
      <c r="C236" s="13" t="n">
        <v>500000</v>
      </c>
      <c r="D236" s="13" t="n">
        <v>0.77</v>
      </c>
      <c r="F236">
        <f>CONCATENATE(A236,B236,C236)</f>
        <v/>
      </c>
      <c r="G236" s="13" t="n">
        <v>0.77</v>
      </c>
    </row>
    <row r="237">
      <c r="A237" s="188" t="inlineStr">
        <is>
          <t>$10,000,001-$20,000,000</t>
        </is>
      </c>
      <c r="B237" s="13" t="n">
        <v>50000</v>
      </c>
      <c r="C237" s="13" t="n">
        <v>1000000</v>
      </c>
      <c r="D237" s="13" t="n">
        <v>0.98</v>
      </c>
      <c r="F237">
        <f>CONCATENATE(A237,B237,C237)</f>
        <v/>
      </c>
      <c r="G237" s="13" t="n">
        <v>0.98</v>
      </c>
    </row>
    <row r="238">
      <c r="A238" s="188" t="inlineStr">
        <is>
          <t>$10,000,001-$20,000,000</t>
        </is>
      </c>
      <c r="B238" s="13" t="n">
        <v>50000</v>
      </c>
      <c r="C238" s="13" t="n">
        <v>2000000</v>
      </c>
      <c r="D238" s="13" t="n">
        <v>1.5</v>
      </c>
      <c r="F238">
        <f>CONCATENATE(A238,B238,C238)</f>
        <v/>
      </c>
      <c r="G238" s="13" t="n">
        <v>1.5</v>
      </c>
    </row>
    <row r="239">
      <c r="A239" s="188" t="inlineStr">
        <is>
          <t>$10,000,001-$20,000,000</t>
        </is>
      </c>
      <c r="B239" s="13" t="n">
        <v>50000</v>
      </c>
      <c r="C239" s="13" t="n">
        <v>3000000</v>
      </c>
      <c r="D239" s="13" t="n">
        <v>1.93</v>
      </c>
      <c r="F239">
        <f>CONCATENATE(A239,B239,C239)</f>
        <v/>
      </c>
      <c r="G239" s="13" t="n">
        <v>1.93</v>
      </c>
    </row>
    <row r="240">
      <c r="A240" s="188" t="inlineStr">
        <is>
          <t>$10,000,001-$20,000,000</t>
        </is>
      </c>
      <c r="B240" s="13" t="n">
        <v>50000</v>
      </c>
      <c r="C240" s="13" t="n">
        <v>5000000</v>
      </c>
      <c r="D240" s="13" t="n">
        <v>2.43</v>
      </c>
      <c r="F240">
        <f>CONCATENATE(A240,B240,C240)</f>
        <v/>
      </c>
      <c r="G240" s="13" t="n">
        <v>2.43</v>
      </c>
    </row>
    <row r="241">
      <c r="A241" s="188" t="inlineStr">
        <is>
          <t>$10,000,001-$20,000,000</t>
        </is>
      </c>
      <c r="B241" s="13" t="n">
        <v>100000</v>
      </c>
      <c r="C241" s="13" t="n">
        <v>500000</v>
      </c>
      <c r="D241" s="13" t="n">
        <v>0.72</v>
      </c>
      <c r="F241">
        <f>CONCATENATE(A241,B241,C241)</f>
        <v/>
      </c>
      <c r="G241" s="13" t="n">
        <v>0.72</v>
      </c>
    </row>
    <row r="242">
      <c r="A242" s="188" t="inlineStr">
        <is>
          <t>$10,000,001-$20,000,000</t>
        </is>
      </c>
      <c r="B242" s="13" t="n">
        <v>100000</v>
      </c>
      <c r="C242" s="13" t="n">
        <v>1000000</v>
      </c>
      <c r="D242" s="13" t="n">
        <v>0.9399999999999999</v>
      </c>
      <c r="F242">
        <f>CONCATENATE(A242,B242,C242)</f>
        <v/>
      </c>
      <c r="G242" s="13" t="n">
        <v>0.9399999999999999</v>
      </c>
    </row>
    <row r="243">
      <c r="A243" s="188" t="inlineStr">
        <is>
          <t>$10,000,001-$20,000,000</t>
        </is>
      </c>
      <c r="B243" s="13" t="n">
        <v>100000</v>
      </c>
      <c r="C243" s="13" t="n">
        <v>2000000</v>
      </c>
      <c r="D243" s="13" t="n">
        <v>1.44</v>
      </c>
      <c r="F243">
        <f>CONCATENATE(A243,B243,C243)</f>
        <v/>
      </c>
      <c r="G243" s="13" t="n">
        <v>1.44</v>
      </c>
    </row>
    <row r="244">
      <c r="A244" s="188" t="inlineStr">
        <is>
          <t>$10,000,001-$20,000,000</t>
        </is>
      </c>
      <c r="B244" s="13" t="n">
        <v>100000</v>
      </c>
      <c r="C244" s="13" t="n">
        <v>3000000</v>
      </c>
      <c r="D244" s="13" t="n">
        <v>1.88</v>
      </c>
      <c r="F244">
        <f>CONCATENATE(A244,B244,C244)</f>
        <v/>
      </c>
      <c r="G244" s="13" t="n">
        <v>1.88</v>
      </c>
    </row>
    <row r="245">
      <c r="A245" s="188" t="inlineStr">
        <is>
          <t>$10,000,001-$20,000,000</t>
        </is>
      </c>
      <c r="B245" s="13" t="n">
        <v>100000</v>
      </c>
      <c r="C245" s="13" t="n">
        <v>5000000</v>
      </c>
      <c r="D245" s="13" t="n">
        <v>2.38</v>
      </c>
      <c r="F245">
        <f>CONCATENATE(A245,B245,C245)</f>
        <v/>
      </c>
      <c r="G245" s="13" t="n">
        <v>2.38</v>
      </c>
    </row>
    <row r="246">
      <c r="A246" s="221" t="inlineStr">
        <is>
          <t>$20,000,001-$40,000,000</t>
        </is>
      </c>
      <c r="B246" s="19" t="n">
        <v>1000</v>
      </c>
      <c r="C246" s="19" t="n">
        <v>500000</v>
      </c>
      <c r="D246" s="19" t="n">
        <v>99</v>
      </c>
      <c r="F246">
        <f>CONCATENATE(A246,B246,C246)</f>
        <v/>
      </c>
      <c r="G246" s="19" t="n">
        <v>99</v>
      </c>
    </row>
    <row r="247">
      <c r="A247" s="221" t="inlineStr">
        <is>
          <t>$20,000,001-$40,000,000</t>
        </is>
      </c>
      <c r="B247" s="19" t="n">
        <v>1000</v>
      </c>
      <c r="C247" s="19" t="n">
        <v>1000000</v>
      </c>
      <c r="D247" s="19" t="n">
        <v>99</v>
      </c>
      <c r="F247">
        <f>CONCATENATE(A247,B247,C247)</f>
        <v/>
      </c>
      <c r="G247" s="19" t="n">
        <v>99</v>
      </c>
    </row>
    <row r="248">
      <c r="A248" s="221" t="inlineStr">
        <is>
          <t>$20,000,001-$40,000,000</t>
        </is>
      </c>
      <c r="B248" s="19" t="n">
        <v>1000</v>
      </c>
      <c r="C248" s="19" t="n">
        <v>2000000</v>
      </c>
      <c r="D248" s="19" t="n">
        <v>99</v>
      </c>
      <c r="F248">
        <f>CONCATENATE(A248,B248,C248)</f>
        <v/>
      </c>
      <c r="G248" s="19" t="n">
        <v>99</v>
      </c>
    </row>
    <row r="249">
      <c r="A249" s="221" t="inlineStr">
        <is>
          <t>$20,000,001-$40,000,000</t>
        </is>
      </c>
      <c r="B249" s="19" t="n">
        <v>1000</v>
      </c>
      <c r="C249" s="19" t="n">
        <v>3000000</v>
      </c>
      <c r="D249" s="19" t="n">
        <v>99</v>
      </c>
      <c r="F249">
        <f>CONCATENATE(A249,B249,C249)</f>
        <v/>
      </c>
      <c r="G249" s="19" t="n">
        <v>99</v>
      </c>
    </row>
    <row r="250">
      <c r="A250" s="221" t="inlineStr">
        <is>
          <t>$20,000,001-$40,000,000</t>
        </is>
      </c>
      <c r="B250" s="19" t="n">
        <v>1000</v>
      </c>
      <c r="C250" s="19" t="n">
        <v>5000000</v>
      </c>
      <c r="D250" s="19" t="n">
        <v>99</v>
      </c>
      <c r="F250">
        <f>CONCATENATE(A250,B250,C250)</f>
        <v/>
      </c>
      <c r="G250" s="19" t="n">
        <v>99</v>
      </c>
    </row>
    <row r="251">
      <c r="A251" s="221" t="inlineStr">
        <is>
          <t>$20,000,001-$40,000,000</t>
        </is>
      </c>
      <c r="B251" s="19" t="n">
        <v>2500</v>
      </c>
      <c r="C251" s="19" t="n">
        <v>500000</v>
      </c>
      <c r="D251" s="19" t="n">
        <v>0.96</v>
      </c>
      <c r="F251">
        <f>CONCATENATE(A251,B251,C251)</f>
        <v/>
      </c>
      <c r="G251" s="19" t="n">
        <v>0.96</v>
      </c>
    </row>
    <row r="252">
      <c r="A252" s="221" t="inlineStr">
        <is>
          <t>$20,000,001-$40,000,000</t>
        </is>
      </c>
      <c r="B252" s="19" t="n">
        <v>2500</v>
      </c>
      <c r="C252" s="19" t="n">
        <v>1000000</v>
      </c>
      <c r="D252" s="19" t="n">
        <v>1.21</v>
      </c>
      <c r="F252">
        <f>CONCATENATE(A252,B252,C252)</f>
        <v/>
      </c>
      <c r="G252" s="19" t="n">
        <v>1.21</v>
      </c>
    </row>
    <row r="253">
      <c r="A253" s="221" t="inlineStr">
        <is>
          <t>$20,000,001-$40,000,000</t>
        </is>
      </c>
      <c r="B253" s="19" t="n">
        <v>2500</v>
      </c>
      <c r="C253" s="19" t="n">
        <v>2000000</v>
      </c>
      <c r="D253" s="19" t="n">
        <v>1.73</v>
      </c>
      <c r="F253">
        <f>CONCATENATE(A253,B253,C253)</f>
        <v/>
      </c>
      <c r="G253" s="19" t="n">
        <v>1.73</v>
      </c>
    </row>
    <row r="254">
      <c r="A254" s="221" t="inlineStr">
        <is>
          <t>$20,000,001-$40,000,000</t>
        </is>
      </c>
      <c r="B254" s="19" t="n">
        <v>2500</v>
      </c>
      <c r="C254" s="19" t="n">
        <v>3000000</v>
      </c>
      <c r="D254" s="19" t="n">
        <v>2.16</v>
      </c>
      <c r="F254">
        <f>CONCATENATE(A254,B254,C254)</f>
        <v/>
      </c>
      <c r="G254" s="19" t="n">
        <v>2.16</v>
      </c>
    </row>
    <row r="255">
      <c r="A255" s="221" t="inlineStr">
        <is>
          <t>$20,000,001-$40,000,000</t>
        </is>
      </c>
      <c r="B255" s="19" t="n">
        <v>2500</v>
      </c>
      <c r="C255" s="19" t="n">
        <v>5000000</v>
      </c>
      <c r="D255" s="19" t="n">
        <v>2.66</v>
      </c>
      <c r="F255">
        <f>CONCATENATE(A255,B255,C255)</f>
        <v/>
      </c>
      <c r="G255" s="19" t="n">
        <v>2.66</v>
      </c>
    </row>
    <row r="256">
      <c r="A256" s="221" t="inlineStr">
        <is>
          <t>$20,000,001-$40,000,000</t>
        </is>
      </c>
      <c r="B256" s="19" t="n">
        <v>5000</v>
      </c>
      <c r="C256" s="19" t="n">
        <v>500000</v>
      </c>
      <c r="D256" s="19" t="n">
        <v>0.91</v>
      </c>
      <c r="F256">
        <f>CONCATENATE(A256,B256,C256)</f>
        <v/>
      </c>
      <c r="G256" s="19" t="n">
        <v>0.91</v>
      </c>
    </row>
    <row r="257">
      <c r="A257" s="221" t="inlineStr">
        <is>
          <t>$20,000,001-$40,000,000</t>
        </is>
      </c>
      <c r="B257" s="19" t="n">
        <v>5000</v>
      </c>
      <c r="C257" s="19" t="n">
        <v>1000000</v>
      </c>
      <c r="D257" s="19" t="n">
        <v>1.15</v>
      </c>
      <c r="F257">
        <f>CONCATENATE(A257,B257,C257)</f>
        <v/>
      </c>
      <c r="G257" s="19" t="n">
        <v>1.15</v>
      </c>
    </row>
    <row r="258">
      <c r="A258" s="221" t="inlineStr">
        <is>
          <t>$20,000,001-$40,000,000</t>
        </is>
      </c>
      <c r="B258" s="19" t="n">
        <v>5000</v>
      </c>
      <c r="C258" s="19" t="n">
        <v>2000000</v>
      </c>
      <c r="D258" s="19" t="n">
        <v>1.65</v>
      </c>
      <c r="F258">
        <f>CONCATENATE(A258,B258,C258)</f>
        <v/>
      </c>
      <c r="G258" s="19" t="n">
        <v>1.65</v>
      </c>
    </row>
    <row r="259">
      <c r="A259" s="221" t="inlineStr">
        <is>
          <t>$20,000,001-$40,000,000</t>
        </is>
      </c>
      <c r="B259" s="19" t="n">
        <v>5000</v>
      </c>
      <c r="C259" s="19" t="n">
        <v>3000000</v>
      </c>
      <c r="D259" s="19" t="n">
        <v>2.09</v>
      </c>
      <c r="F259">
        <f>CONCATENATE(A259,B259,C259)</f>
        <v/>
      </c>
      <c r="G259" s="19" t="n">
        <v>2.09</v>
      </c>
    </row>
    <row r="260">
      <c r="A260" s="221" t="inlineStr">
        <is>
          <t>$20,000,001-$40,000,000</t>
        </is>
      </c>
      <c r="B260" s="19" t="n">
        <v>5000</v>
      </c>
      <c r="C260" s="19" t="n">
        <v>5000000</v>
      </c>
      <c r="D260" s="19" t="n">
        <v>2.58</v>
      </c>
      <c r="F260">
        <f>CONCATENATE(A260,B260,C260)</f>
        <v/>
      </c>
      <c r="G260" s="19" t="n">
        <v>2.58</v>
      </c>
    </row>
    <row r="261">
      <c r="A261" s="221" t="inlineStr">
        <is>
          <t>$20,000,001-$40,000,000</t>
        </is>
      </c>
      <c r="B261" s="19" t="n">
        <v>10000</v>
      </c>
      <c r="C261" s="19" t="n">
        <v>500000</v>
      </c>
      <c r="D261" s="19" t="n">
        <v>0.86</v>
      </c>
      <c r="F261">
        <f>CONCATENATE(A261,B261,C261)</f>
        <v/>
      </c>
      <c r="G261" s="19" t="n">
        <v>0.86</v>
      </c>
    </row>
    <row r="262">
      <c r="A262" s="221" t="inlineStr">
        <is>
          <t>$20,000,001-$40,000,000</t>
        </is>
      </c>
      <c r="B262" s="19" t="n">
        <v>10000</v>
      </c>
      <c r="C262" s="19" t="n">
        <v>1000000</v>
      </c>
      <c r="D262" s="19" t="n">
        <v>1.09</v>
      </c>
      <c r="F262">
        <f>CONCATENATE(A262,B262,C262)</f>
        <v/>
      </c>
      <c r="G262" s="19" t="n">
        <v>1.09</v>
      </c>
    </row>
    <row r="263">
      <c r="A263" s="221" t="inlineStr">
        <is>
          <t>$20,000,001-$40,000,000</t>
        </is>
      </c>
      <c r="B263" s="19" t="n">
        <v>10000</v>
      </c>
      <c r="C263" s="19" t="n">
        <v>2000000</v>
      </c>
      <c r="D263" s="19" t="n">
        <v>1.59</v>
      </c>
      <c r="F263">
        <f>CONCATENATE(A263,B263,C263)</f>
        <v/>
      </c>
      <c r="G263" s="19" t="n">
        <v>1.59</v>
      </c>
    </row>
    <row r="264">
      <c r="A264" s="221" t="inlineStr">
        <is>
          <t>$20,000,001-$40,000,000</t>
        </is>
      </c>
      <c r="B264" s="19" t="n">
        <v>10000</v>
      </c>
      <c r="C264" s="19" t="n">
        <v>3000000</v>
      </c>
      <c r="D264" s="19" t="n">
        <v>2.03</v>
      </c>
      <c r="F264">
        <f>CONCATENATE(A264,B264,C264)</f>
        <v/>
      </c>
      <c r="G264" s="19" t="n">
        <v>2.03</v>
      </c>
    </row>
    <row r="265">
      <c r="A265" s="221" t="inlineStr">
        <is>
          <t>$20,000,001-$40,000,000</t>
        </is>
      </c>
      <c r="B265" s="19" t="n">
        <v>10000</v>
      </c>
      <c r="C265" s="19" t="n">
        <v>5000000</v>
      </c>
      <c r="D265" s="19" t="n">
        <v>2.53</v>
      </c>
      <c r="F265">
        <f>CONCATENATE(A265,B265,C265)</f>
        <v/>
      </c>
      <c r="G265" s="19" t="n">
        <v>2.53</v>
      </c>
    </row>
    <row r="266">
      <c r="A266" s="221" t="inlineStr">
        <is>
          <t>$20,000,001-$40,000,000</t>
        </is>
      </c>
      <c r="B266" s="19" t="n">
        <v>25000</v>
      </c>
      <c r="C266" s="19" t="n">
        <v>500000</v>
      </c>
      <c r="D266" s="19" t="n">
        <v>0.82</v>
      </c>
      <c r="F266">
        <f>CONCATENATE(A266,B266,C266)</f>
        <v/>
      </c>
      <c r="G266" s="19" t="n">
        <v>0.82</v>
      </c>
    </row>
    <row r="267">
      <c r="A267" s="221" t="inlineStr">
        <is>
          <t>$20,000,001-$40,000,000</t>
        </is>
      </c>
      <c r="B267" s="19" t="n">
        <v>25000</v>
      </c>
      <c r="C267" s="19" t="n">
        <v>1000000</v>
      </c>
      <c r="D267" s="19" t="n">
        <v>1.02</v>
      </c>
      <c r="F267">
        <f>CONCATENATE(A267,B267,C267)</f>
        <v/>
      </c>
      <c r="G267" s="19" t="n">
        <v>1.02</v>
      </c>
    </row>
    <row r="268">
      <c r="A268" s="221" t="inlineStr">
        <is>
          <t>$20,000,001-$40,000,000</t>
        </is>
      </c>
      <c r="B268" s="19" t="n">
        <v>25000</v>
      </c>
      <c r="C268" s="19" t="n">
        <v>2000000</v>
      </c>
      <c r="D268" s="19" t="n">
        <v>1.54</v>
      </c>
      <c r="F268">
        <f>CONCATENATE(A268,B268,C268)</f>
        <v/>
      </c>
      <c r="G268" s="19" t="n">
        <v>1.54</v>
      </c>
    </row>
    <row r="269">
      <c r="A269" s="221" t="inlineStr">
        <is>
          <t>$20,000,001-$40,000,000</t>
        </is>
      </c>
      <c r="B269" s="19" t="n">
        <v>25000</v>
      </c>
      <c r="C269" s="19" t="n">
        <v>3000000</v>
      </c>
      <c r="D269" s="19" t="n">
        <v>1.98</v>
      </c>
      <c r="F269">
        <f>CONCATENATE(A269,B269,C269)</f>
        <v/>
      </c>
      <c r="G269" s="19" t="n">
        <v>1.98</v>
      </c>
    </row>
    <row r="270">
      <c r="A270" s="221" t="inlineStr">
        <is>
          <t>$20,000,001-$40,000,000</t>
        </is>
      </c>
      <c r="B270" s="19" t="n">
        <v>25000</v>
      </c>
      <c r="C270" s="19" t="n">
        <v>5000000</v>
      </c>
      <c r="D270" s="19" t="n">
        <v>2.48</v>
      </c>
      <c r="F270">
        <f>CONCATENATE(A270,B270,C270)</f>
        <v/>
      </c>
      <c r="G270" s="19" t="n">
        <v>2.48</v>
      </c>
    </row>
    <row r="271">
      <c r="A271" s="221" t="inlineStr">
        <is>
          <t>$20,000,001-$40,000,000</t>
        </is>
      </c>
      <c r="B271" s="19" t="n">
        <v>50000</v>
      </c>
      <c r="C271" s="19" t="n">
        <v>500000</v>
      </c>
      <c r="D271" s="19" t="n">
        <v>0.77</v>
      </c>
      <c r="F271">
        <f>CONCATENATE(A271,B271,C271)</f>
        <v/>
      </c>
      <c r="G271" s="19" t="n">
        <v>0.77</v>
      </c>
    </row>
    <row r="272">
      <c r="A272" s="221" t="inlineStr">
        <is>
          <t>$20,000,001-$40,000,000</t>
        </is>
      </c>
      <c r="B272" s="19" t="n">
        <v>50000</v>
      </c>
      <c r="C272" s="19" t="n">
        <v>1000000</v>
      </c>
      <c r="D272" s="19" t="n">
        <v>0.98</v>
      </c>
      <c r="F272">
        <f>CONCATENATE(A272,B272,C272)</f>
        <v/>
      </c>
      <c r="G272" s="19" t="n">
        <v>0.98</v>
      </c>
    </row>
    <row r="273">
      <c r="A273" s="221" t="inlineStr">
        <is>
          <t>$20,000,001-$40,000,000</t>
        </is>
      </c>
      <c r="B273" s="19" t="n">
        <v>50000</v>
      </c>
      <c r="C273" s="19" t="n">
        <v>2000000</v>
      </c>
      <c r="D273" s="19" t="n">
        <v>1.5</v>
      </c>
      <c r="F273">
        <f>CONCATENATE(A273,B273,C273)</f>
        <v/>
      </c>
      <c r="G273" s="19" t="n">
        <v>1.5</v>
      </c>
    </row>
    <row r="274">
      <c r="A274" s="221" t="inlineStr">
        <is>
          <t>$20,000,001-$40,000,000</t>
        </is>
      </c>
      <c r="B274" s="19" t="n">
        <v>50000</v>
      </c>
      <c r="C274" s="19" t="n">
        <v>3000000</v>
      </c>
      <c r="D274" s="19" t="n">
        <v>1.93</v>
      </c>
      <c r="F274">
        <f>CONCATENATE(A274,B274,C274)</f>
        <v/>
      </c>
      <c r="G274" s="19" t="n">
        <v>1.93</v>
      </c>
    </row>
    <row r="275">
      <c r="A275" s="221" t="inlineStr">
        <is>
          <t>$20,000,001-$40,000,000</t>
        </is>
      </c>
      <c r="B275" s="19" t="n">
        <v>50000</v>
      </c>
      <c r="C275" s="19" t="n">
        <v>5000000</v>
      </c>
      <c r="D275" s="19" t="n">
        <v>2.43</v>
      </c>
      <c r="F275">
        <f>CONCATENATE(A275,B275,C275)</f>
        <v/>
      </c>
      <c r="G275" s="19" t="n">
        <v>2.43</v>
      </c>
    </row>
    <row r="276">
      <c r="A276" s="221" t="inlineStr">
        <is>
          <t>$20,000,001-$40,000,000</t>
        </is>
      </c>
      <c r="B276" s="19" t="n">
        <v>100000</v>
      </c>
      <c r="C276" s="19" t="n">
        <v>500000</v>
      </c>
      <c r="D276" s="19" t="n">
        <v>0.72</v>
      </c>
      <c r="F276">
        <f>CONCATENATE(A276,B276,C276)</f>
        <v/>
      </c>
      <c r="G276" s="19" t="n">
        <v>0.72</v>
      </c>
    </row>
    <row r="277">
      <c r="A277" s="221" t="inlineStr">
        <is>
          <t>$20,000,001-$40,000,000</t>
        </is>
      </c>
      <c r="B277" s="19" t="n">
        <v>100000</v>
      </c>
      <c r="C277" s="19" t="n">
        <v>1000000</v>
      </c>
      <c r="D277" s="19" t="n">
        <v>0.9399999999999999</v>
      </c>
      <c r="F277">
        <f>CONCATENATE(A277,B277,C277)</f>
        <v/>
      </c>
      <c r="G277" s="19" t="n">
        <v>0.9399999999999999</v>
      </c>
    </row>
    <row r="278">
      <c r="A278" s="221" t="inlineStr">
        <is>
          <t>$20,000,001-$40,000,000</t>
        </is>
      </c>
      <c r="B278" s="19" t="n">
        <v>100000</v>
      </c>
      <c r="C278" s="19" t="n">
        <v>2000000</v>
      </c>
      <c r="D278" s="19" t="n">
        <v>1.44</v>
      </c>
      <c r="F278">
        <f>CONCATENATE(A278,B278,C278)</f>
        <v/>
      </c>
      <c r="G278" s="19" t="n">
        <v>1.44</v>
      </c>
    </row>
    <row r="279">
      <c r="A279" s="221" t="inlineStr">
        <is>
          <t>$20,000,001-$40,000,000</t>
        </is>
      </c>
      <c r="B279" s="19" t="n">
        <v>100000</v>
      </c>
      <c r="C279" s="19" t="n">
        <v>3000000</v>
      </c>
      <c r="D279" s="19" t="n">
        <v>1.88</v>
      </c>
      <c r="F279">
        <f>CONCATENATE(A279,B279,C279)</f>
        <v/>
      </c>
      <c r="G279" s="19" t="n">
        <v>1.88</v>
      </c>
    </row>
    <row r="280">
      <c r="A280" s="221" t="inlineStr">
        <is>
          <t>$20,000,001-$40,000,000</t>
        </is>
      </c>
      <c r="B280" s="19" t="n">
        <v>100000</v>
      </c>
      <c r="C280" s="19" t="n">
        <v>5000000</v>
      </c>
      <c r="D280" s="19" t="n">
        <v>2.38</v>
      </c>
      <c r="F280">
        <f>CONCATENATE(A280,B280,C280)</f>
        <v/>
      </c>
      <c r="G280" s="19" t="n">
        <v>2.38</v>
      </c>
    </row>
    <row r="281">
      <c r="A281" s="188" t="inlineStr">
        <is>
          <t>$40,000,001-$60,000,000</t>
        </is>
      </c>
      <c r="B281" s="20" t="n">
        <v>1000</v>
      </c>
      <c r="C281" s="20" t="n">
        <v>500000</v>
      </c>
      <c r="D281" s="20" t="n">
        <v>99</v>
      </c>
      <c r="F281">
        <f>CONCATENATE(A281,B281,C281)</f>
        <v/>
      </c>
      <c r="G281" s="20" t="n">
        <v>99</v>
      </c>
    </row>
    <row r="282">
      <c r="A282" s="188" t="inlineStr">
        <is>
          <t>$40,000,001-$60,000,000</t>
        </is>
      </c>
      <c r="B282" s="20" t="n">
        <v>1000</v>
      </c>
      <c r="C282" s="20" t="n">
        <v>1000000</v>
      </c>
      <c r="D282" s="20" t="n">
        <v>99</v>
      </c>
      <c r="F282">
        <f>CONCATENATE(A282,B282,C282)</f>
        <v/>
      </c>
      <c r="G282" s="20" t="n">
        <v>99</v>
      </c>
    </row>
    <row r="283">
      <c r="A283" s="188" t="inlineStr">
        <is>
          <t>$40,000,001-$60,000,000</t>
        </is>
      </c>
      <c r="B283" s="20" t="n">
        <v>1000</v>
      </c>
      <c r="C283" s="20" t="n">
        <v>2000000</v>
      </c>
      <c r="D283" s="20" t="n">
        <v>99</v>
      </c>
      <c r="F283">
        <f>CONCATENATE(A283,B283,C283)</f>
        <v/>
      </c>
      <c r="G283" s="20" t="n">
        <v>99</v>
      </c>
    </row>
    <row r="284">
      <c r="A284" s="188" t="inlineStr">
        <is>
          <t>$40,000,001-$60,000,000</t>
        </is>
      </c>
      <c r="B284" s="20" t="n">
        <v>1000</v>
      </c>
      <c r="C284" s="20" t="n">
        <v>3000000</v>
      </c>
      <c r="D284" s="20" t="n">
        <v>99</v>
      </c>
      <c r="F284">
        <f>CONCATENATE(A284,B284,C284)</f>
        <v/>
      </c>
      <c r="G284" s="20" t="n">
        <v>99</v>
      </c>
    </row>
    <row r="285">
      <c r="A285" s="188" t="inlineStr">
        <is>
          <t>$40,000,001-$60,000,000</t>
        </is>
      </c>
      <c r="B285" s="20" t="n">
        <v>1000</v>
      </c>
      <c r="C285" s="20" t="n">
        <v>5000000</v>
      </c>
      <c r="D285" s="20" t="n">
        <v>99</v>
      </c>
      <c r="F285">
        <f>CONCATENATE(A285,B285,C285)</f>
        <v/>
      </c>
      <c r="G285" s="20" t="n">
        <v>99</v>
      </c>
    </row>
    <row r="286">
      <c r="A286" s="188" t="inlineStr">
        <is>
          <t>$40,000,001-$60,000,000</t>
        </is>
      </c>
      <c r="B286" s="20" t="n">
        <v>2500</v>
      </c>
      <c r="C286" s="20" t="n">
        <v>500000</v>
      </c>
      <c r="D286" s="20" t="n">
        <v>0.96</v>
      </c>
      <c r="F286">
        <f>CONCATENATE(A286,B286,C286)</f>
        <v/>
      </c>
      <c r="G286" s="20" t="n">
        <v>0.96</v>
      </c>
    </row>
    <row r="287">
      <c r="A287" s="188" t="inlineStr">
        <is>
          <t>$40,000,001-$60,000,000</t>
        </is>
      </c>
      <c r="B287" s="20" t="n">
        <v>2500</v>
      </c>
      <c r="C287" s="20" t="n">
        <v>1000000</v>
      </c>
      <c r="D287" s="20" t="n">
        <v>1.21</v>
      </c>
      <c r="F287">
        <f>CONCATENATE(A287,B287,C287)</f>
        <v/>
      </c>
      <c r="G287" s="20" t="n">
        <v>1.21</v>
      </c>
    </row>
    <row r="288">
      <c r="A288" s="188" t="inlineStr">
        <is>
          <t>$40,000,001-$60,000,000</t>
        </is>
      </c>
      <c r="B288" s="20" t="n">
        <v>2500</v>
      </c>
      <c r="C288" s="20" t="n">
        <v>2000000</v>
      </c>
      <c r="D288" s="20" t="n">
        <v>1.73</v>
      </c>
      <c r="F288">
        <f>CONCATENATE(A288,B288,C288)</f>
        <v/>
      </c>
      <c r="G288" s="20" t="n">
        <v>1.73</v>
      </c>
    </row>
    <row r="289">
      <c r="A289" s="188" t="inlineStr">
        <is>
          <t>$40,000,001-$60,000,000</t>
        </is>
      </c>
      <c r="B289" s="20" t="n">
        <v>2500</v>
      </c>
      <c r="C289" s="20" t="n">
        <v>3000000</v>
      </c>
      <c r="D289" s="20" t="n">
        <v>2.16</v>
      </c>
      <c r="F289">
        <f>CONCATENATE(A289,B289,C289)</f>
        <v/>
      </c>
      <c r="G289" s="20" t="n">
        <v>2.16</v>
      </c>
    </row>
    <row r="290">
      <c r="A290" s="188" t="inlineStr">
        <is>
          <t>$40,000,001-$60,000,000</t>
        </is>
      </c>
      <c r="B290" s="20" t="n">
        <v>2500</v>
      </c>
      <c r="C290" s="20" t="n">
        <v>5000000</v>
      </c>
      <c r="D290" s="20" t="n">
        <v>2.66</v>
      </c>
      <c r="F290">
        <f>CONCATENATE(A290,B290,C290)</f>
        <v/>
      </c>
      <c r="G290" s="20" t="n">
        <v>2.66</v>
      </c>
    </row>
    <row r="291">
      <c r="A291" s="188" t="inlineStr">
        <is>
          <t>$40,000,001-$60,000,000</t>
        </is>
      </c>
      <c r="B291" s="20" t="n">
        <v>5000</v>
      </c>
      <c r="C291" s="20" t="n">
        <v>500000</v>
      </c>
      <c r="D291" s="20" t="n">
        <v>0.91</v>
      </c>
      <c r="F291">
        <f>CONCATENATE(A291,B291,C291)</f>
        <v/>
      </c>
      <c r="G291" s="20" t="n">
        <v>0.91</v>
      </c>
    </row>
    <row r="292">
      <c r="A292" s="188" t="inlineStr">
        <is>
          <t>$40,000,001-$60,000,000</t>
        </is>
      </c>
      <c r="B292" s="20" t="n">
        <v>5000</v>
      </c>
      <c r="C292" s="20" t="n">
        <v>1000000</v>
      </c>
      <c r="D292" s="20" t="n">
        <v>1.15</v>
      </c>
      <c r="F292">
        <f>CONCATENATE(A292,B292,C292)</f>
        <v/>
      </c>
      <c r="G292" s="20" t="n">
        <v>1.15</v>
      </c>
    </row>
    <row r="293">
      <c r="A293" s="188" t="inlineStr">
        <is>
          <t>$40,000,001-$60,000,000</t>
        </is>
      </c>
      <c r="B293" s="20" t="n">
        <v>5000</v>
      </c>
      <c r="C293" s="20" t="n">
        <v>2000000</v>
      </c>
      <c r="D293" s="20" t="n">
        <v>1.65</v>
      </c>
      <c r="F293">
        <f>CONCATENATE(A293,B293,C293)</f>
        <v/>
      </c>
      <c r="G293" s="20" t="n">
        <v>1.65</v>
      </c>
    </row>
    <row r="294">
      <c r="A294" s="188" t="inlineStr">
        <is>
          <t>$40,000,001-$60,000,000</t>
        </is>
      </c>
      <c r="B294" s="20" t="n">
        <v>5000</v>
      </c>
      <c r="C294" s="20" t="n">
        <v>3000000</v>
      </c>
      <c r="D294" s="20" t="n">
        <v>2.09</v>
      </c>
      <c r="F294">
        <f>CONCATENATE(A294,B294,C294)</f>
        <v/>
      </c>
      <c r="G294" s="20" t="n">
        <v>2.09</v>
      </c>
    </row>
    <row r="295">
      <c r="A295" s="188" t="inlineStr">
        <is>
          <t>$40,000,001-$60,000,000</t>
        </is>
      </c>
      <c r="B295" s="20" t="n">
        <v>5000</v>
      </c>
      <c r="C295" s="20" t="n">
        <v>5000000</v>
      </c>
      <c r="D295" s="20" t="n">
        <v>2.58</v>
      </c>
      <c r="F295">
        <f>CONCATENATE(A295,B295,C295)</f>
        <v/>
      </c>
      <c r="G295" s="20" t="n">
        <v>2.58</v>
      </c>
    </row>
    <row r="296">
      <c r="A296" s="188" t="inlineStr">
        <is>
          <t>$40,000,001-$60,000,000</t>
        </is>
      </c>
      <c r="B296" s="20" t="n">
        <v>10000</v>
      </c>
      <c r="C296" s="20" t="n">
        <v>500000</v>
      </c>
      <c r="D296" s="20" t="n">
        <v>0.86</v>
      </c>
      <c r="F296">
        <f>CONCATENATE(A296,B296,C296)</f>
        <v/>
      </c>
      <c r="G296" s="20" t="n">
        <v>0.86</v>
      </c>
    </row>
    <row r="297">
      <c r="A297" s="188" t="inlineStr">
        <is>
          <t>$40,000,001-$60,000,000</t>
        </is>
      </c>
      <c r="B297" s="20" t="n">
        <v>10000</v>
      </c>
      <c r="C297" s="20" t="n">
        <v>1000000</v>
      </c>
      <c r="D297" s="20" t="n">
        <v>1.09</v>
      </c>
      <c r="F297">
        <f>CONCATENATE(A297,B297,C297)</f>
        <v/>
      </c>
      <c r="G297" s="20" t="n">
        <v>1.09</v>
      </c>
    </row>
    <row r="298">
      <c r="A298" s="188" t="inlineStr">
        <is>
          <t>$40,000,001-$60,000,000</t>
        </is>
      </c>
      <c r="B298" s="20" t="n">
        <v>10000</v>
      </c>
      <c r="C298" s="20" t="n">
        <v>2000000</v>
      </c>
      <c r="D298" s="20" t="n">
        <v>1.59</v>
      </c>
      <c r="F298">
        <f>CONCATENATE(A298,B298,C298)</f>
        <v/>
      </c>
      <c r="G298" s="20" t="n">
        <v>1.59</v>
      </c>
    </row>
    <row r="299">
      <c r="A299" s="188" t="inlineStr">
        <is>
          <t>$40,000,001-$60,000,000</t>
        </is>
      </c>
      <c r="B299" s="20" t="n">
        <v>10000</v>
      </c>
      <c r="C299" s="20" t="n">
        <v>3000000</v>
      </c>
      <c r="D299" s="20" t="n">
        <v>2.03</v>
      </c>
      <c r="F299">
        <f>CONCATENATE(A299,B299,C299)</f>
        <v/>
      </c>
      <c r="G299" s="20" t="n">
        <v>2.03</v>
      </c>
    </row>
    <row r="300">
      <c r="A300" s="188" t="inlineStr">
        <is>
          <t>$40,000,001-$60,000,000</t>
        </is>
      </c>
      <c r="B300" s="20" t="n">
        <v>10000</v>
      </c>
      <c r="C300" s="20" t="n">
        <v>5000000</v>
      </c>
      <c r="D300" s="20" t="n">
        <v>2.53</v>
      </c>
      <c r="F300">
        <f>CONCATENATE(A300,B300,C300)</f>
        <v/>
      </c>
      <c r="G300" s="20" t="n">
        <v>2.53</v>
      </c>
    </row>
    <row r="301">
      <c r="A301" s="188" t="inlineStr">
        <is>
          <t>$40,000,001-$60,000,000</t>
        </is>
      </c>
      <c r="B301" s="20" t="n">
        <v>25000</v>
      </c>
      <c r="C301" s="20" t="n">
        <v>500000</v>
      </c>
      <c r="D301" s="20" t="n">
        <v>0.82</v>
      </c>
      <c r="F301">
        <f>CONCATENATE(A301,B301,C301)</f>
        <v/>
      </c>
      <c r="G301" s="20" t="n">
        <v>0.82</v>
      </c>
    </row>
    <row r="302">
      <c r="A302" s="188" t="inlineStr">
        <is>
          <t>$40,000,001-$60,000,000</t>
        </is>
      </c>
      <c r="B302" s="20" t="n">
        <v>25000</v>
      </c>
      <c r="C302" s="20" t="n">
        <v>1000000</v>
      </c>
      <c r="D302" s="20" t="n">
        <v>1.02</v>
      </c>
      <c r="F302">
        <f>CONCATENATE(A302,B302,C302)</f>
        <v/>
      </c>
      <c r="G302" s="20" t="n">
        <v>1.02</v>
      </c>
    </row>
    <row r="303">
      <c r="A303" s="188" t="inlineStr">
        <is>
          <t>$40,000,001-$60,000,000</t>
        </is>
      </c>
      <c r="B303" s="20" t="n">
        <v>25000</v>
      </c>
      <c r="C303" s="20" t="n">
        <v>2000000</v>
      </c>
      <c r="D303" s="20" t="n">
        <v>1.54</v>
      </c>
      <c r="F303">
        <f>CONCATENATE(A303,B303,C303)</f>
        <v/>
      </c>
      <c r="G303" s="20" t="n">
        <v>1.54</v>
      </c>
    </row>
    <row r="304">
      <c r="A304" s="188" t="inlineStr">
        <is>
          <t>$40,000,001-$60,000,000</t>
        </is>
      </c>
      <c r="B304" s="20" t="n">
        <v>25000</v>
      </c>
      <c r="C304" s="20" t="n">
        <v>3000000</v>
      </c>
      <c r="D304" s="20" t="n">
        <v>1.98</v>
      </c>
      <c r="F304">
        <f>CONCATENATE(A304,B304,C304)</f>
        <v/>
      </c>
      <c r="G304" s="20" t="n">
        <v>1.98</v>
      </c>
    </row>
    <row r="305">
      <c r="A305" s="188" t="inlineStr">
        <is>
          <t>$40,000,001-$60,000,000</t>
        </is>
      </c>
      <c r="B305" s="20" t="n">
        <v>25000</v>
      </c>
      <c r="C305" s="20" t="n">
        <v>5000000</v>
      </c>
      <c r="D305" s="20" t="n">
        <v>2.48</v>
      </c>
      <c r="F305">
        <f>CONCATENATE(A305,B305,C305)</f>
        <v/>
      </c>
      <c r="G305" s="20" t="n">
        <v>2.48</v>
      </c>
    </row>
    <row r="306">
      <c r="A306" s="188" t="inlineStr">
        <is>
          <t>$40,000,001-$60,000,000</t>
        </is>
      </c>
      <c r="B306" s="20" t="n">
        <v>50000</v>
      </c>
      <c r="C306" s="20" t="n">
        <v>500000</v>
      </c>
      <c r="D306" s="20" t="n">
        <v>0.77</v>
      </c>
      <c r="F306">
        <f>CONCATENATE(A306,B306,C306)</f>
        <v/>
      </c>
      <c r="G306" s="20" t="n">
        <v>0.77</v>
      </c>
    </row>
    <row r="307">
      <c r="A307" s="188" t="inlineStr">
        <is>
          <t>$40,000,001-$60,000,000</t>
        </is>
      </c>
      <c r="B307" s="20" t="n">
        <v>50000</v>
      </c>
      <c r="C307" s="20" t="n">
        <v>1000000</v>
      </c>
      <c r="D307" s="20" t="n">
        <v>0.98</v>
      </c>
      <c r="F307">
        <f>CONCATENATE(A307,B307,C307)</f>
        <v/>
      </c>
      <c r="G307" s="20" t="n">
        <v>0.98</v>
      </c>
    </row>
    <row r="308">
      <c r="A308" s="188" t="inlineStr">
        <is>
          <t>$40,000,001-$60,000,000</t>
        </is>
      </c>
      <c r="B308" s="20" t="n">
        <v>50000</v>
      </c>
      <c r="C308" s="20" t="n">
        <v>2000000</v>
      </c>
      <c r="D308" s="20" t="n">
        <v>1.5</v>
      </c>
      <c r="F308">
        <f>CONCATENATE(A308,B308,C308)</f>
        <v/>
      </c>
      <c r="G308" s="20" t="n">
        <v>1.5</v>
      </c>
    </row>
    <row r="309">
      <c r="A309" s="188" t="inlineStr">
        <is>
          <t>$40,000,001-$60,000,000</t>
        </is>
      </c>
      <c r="B309" s="20" t="n">
        <v>50000</v>
      </c>
      <c r="C309" s="20" t="n">
        <v>3000000</v>
      </c>
      <c r="D309" s="20" t="n">
        <v>1.93</v>
      </c>
      <c r="F309">
        <f>CONCATENATE(A309,B309,C309)</f>
        <v/>
      </c>
      <c r="G309" s="20" t="n">
        <v>1.93</v>
      </c>
    </row>
    <row r="310">
      <c r="A310" s="188" t="inlineStr">
        <is>
          <t>$40,000,001-$60,000,000</t>
        </is>
      </c>
      <c r="B310" s="20" t="n">
        <v>50000</v>
      </c>
      <c r="C310" s="20" t="n">
        <v>5000000</v>
      </c>
      <c r="D310" s="20" t="n">
        <v>2.43</v>
      </c>
      <c r="F310">
        <f>CONCATENATE(A310,B310,C310)</f>
        <v/>
      </c>
      <c r="G310" s="20" t="n">
        <v>2.43</v>
      </c>
    </row>
    <row r="311">
      <c r="A311" s="188" t="inlineStr">
        <is>
          <t>$40,000,001-$60,000,000</t>
        </is>
      </c>
      <c r="B311" s="20" t="n">
        <v>100000</v>
      </c>
      <c r="C311" s="20" t="n">
        <v>500000</v>
      </c>
      <c r="D311" s="20" t="n">
        <v>0.72</v>
      </c>
      <c r="F311">
        <f>CONCATENATE(A311,B311,C311)</f>
        <v/>
      </c>
      <c r="G311" s="20" t="n">
        <v>0.72</v>
      </c>
    </row>
    <row r="312">
      <c r="A312" s="188" t="inlineStr">
        <is>
          <t>$40,000,001-$60,000,000</t>
        </is>
      </c>
      <c r="B312" s="20" t="n">
        <v>100000</v>
      </c>
      <c r="C312" s="20" t="n">
        <v>1000000</v>
      </c>
      <c r="D312" s="20" t="n">
        <v>0.9399999999999999</v>
      </c>
      <c r="F312">
        <f>CONCATENATE(A312,B312,C312)</f>
        <v/>
      </c>
      <c r="G312" s="20" t="n">
        <v>0.9399999999999999</v>
      </c>
    </row>
    <row r="313">
      <c r="A313" s="188" t="inlineStr">
        <is>
          <t>$40,000,001-$60,000,000</t>
        </is>
      </c>
      <c r="B313" s="20" t="n">
        <v>100000</v>
      </c>
      <c r="C313" s="20" t="n">
        <v>2000000</v>
      </c>
      <c r="D313" s="20" t="n">
        <v>1.44</v>
      </c>
      <c r="F313">
        <f>CONCATENATE(A313,B313,C313)</f>
        <v/>
      </c>
      <c r="G313" s="20" t="n">
        <v>1.44</v>
      </c>
    </row>
    <row r="314">
      <c r="A314" s="188" t="inlineStr">
        <is>
          <t>$40,000,001-$60,000,000</t>
        </is>
      </c>
      <c r="B314" s="20" t="n">
        <v>100000</v>
      </c>
      <c r="C314" s="20" t="n">
        <v>3000000</v>
      </c>
      <c r="D314" s="20" t="n">
        <v>1.88</v>
      </c>
      <c r="F314">
        <f>CONCATENATE(A314,B314,C314)</f>
        <v/>
      </c>
      <c r="G314" s="20" t="n">
        <v>1.88</v>
      </c>
    </row>
    <row r="315">
      <c r="A315" s="188" t="inlineStr">
        <is>
          <t>$40,000,001-$60,000,000</t>
        </is>
      </c>
      <c r="B315" s="20" t="n">
        <v>100000</v>
      </c>
      <c r="C315" s="20" t="n">
        <v>5000000</v>
      </c>
      <c r="D315" s="20" t="n">
        <v>2.38</v>
      </c>
      <c r="F315">
        <f>CONCATENATE(A315,B315,C315)</f>
        <v/>
      </c>
      <c r="G315" s="20" t="n">
        <v>2.38</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28"/>
  <sheetViews>
    <sheetView topLeftCell="A127" workbookViewId="0">
      <selection activeCell="D17" sqref="D17"/>
    </sheetView>
  </sheetViews>
  <sheetFormatPr baseColWidth="8" defaultRowHeight="14.5"/>
  <cols>
    <col width="49" customWidth="1" min="1" max="1"/>
    <col width="18.81640625" customWidth="1" min="2" max="2"/>
  </cols>
  <sheetData>
    <row r="1">
      <c r="A1" s="24" t="inlineStr">
        <is>
          <t>Code</t>
        </is>
      </c>
      <c r="B1" s="25" t="inlineStr">
        <is>
          <t>Category</t>
        </is>
      </c>
    </row>
    <row r="2">
      <c r="A2" s="26" t="inlineStr">
        <is>
          <t>Accident Reconstruction Services</t>
        </is>
      </c>
      <c r="B2" t="inlineStr">
        <is>
          <t>Class I</t>
        </is>
      </c>
    </row>
    <row r="3">
      <c r="A3" s="26" t="inlineStr">
        <is>
          <t>Acoustic Consultant Services</t>
        </is>
      </c>
      <c r="B3" t="inlineStr">
        <is>
          <t>Class I</t>
        </is>
      </c>
    </row>
    <row r="4">
      <c r="A4" s="26" t="inlineStr">
        <is>
          <t>Advertising Services / Media Services</t>
        </is>
      </c>
      <c r="B4" t="inlineStr">
        <is>
          <t>Class I</t>
        </is>
      </c>
    </row>
    <row r="5">
      <c r="A5" s="26" t="inlineStr">
        <is>
          <t>Animal Training Services</t>
        </is>
      </c>
      <c r="B5" t="inlineStr">
        <is>
          <t>Class I</t>
        </is>
      </c>
    </row>
    <row r="6">
      <c r="A6" s="26" t="inlineStr">
        <is>
          <t>Answering Service / Call Center Services / Paging Services</t>
        </is>
      </c>
      <c r="B6" t="inlineStr">
        <is>
          <t>Class I</t>
        </is>
      </c>
    </row>
    <row r="7">
      <c r="A7" s="26" t="inlineStr">
        <is>
          <t>Anthologist Services</t>
        </is>
      </c>
      <c r="B7" t="inlineStr">
        <is>
          <t>Class I</t>
        </is>
      </c>
    </row>
    <row r="8">
      <c r="A8" s="26" t="inlineStr">
        <is>
          <t>Anthropologist Services</t>
        </is>
      </c>
      <c r="B8" t="inlineStr">
        <is>
          <t>Class I</t>
        </is>
      </c>
    </row>
    <row r="9">
      <c r="A9" s="26" t="inlineStr">
        <is>
          <t>Antique Dealer</t>
        </is>
      </c>
      <c r="B9" t="inlineStr">
        <is>
          <t>Class I</t>
        </is>
      </c>
    </row>
    <row r="10">
      <c r="A10" s="26" t="inlineStr">
        <is>
          <t>Appraisal Services (Non-Real Estate)</t>
        </is>
      </c>
      <c r="B10" t="inlineStr">
        <is>
          <t>Class I</t>
        </is>
      </c>
    </row>
    <row r="11">
      <c r="A11" s="26" t="inlineStr">
        <is>
          <t>Appraisal Services (Non-Real Estate) / Auctioneering Services (Non-Real Estate)</t>
        </is>
      </c>
      <c r="B11" t="inlineStr">
        <is>
          <t>Class I</t>
        </is>
      </c>
    </row>
    <row r="12">
      <c r="A12" s="26" t="inlineStr">
        <is>
          <t>Arbitrator Services / Mediator Services</t>
        </is>
      </c>
      <c r="B12" t="inlineStr">
        <is>
          <t>Class I</t>
        </is>
      </c>
    </row>
    <row r="13">
      <c r="A13" s="26" t="inlineStr">
        <is>
          <t>Arborist Services</t>
        </is>
      </c>
      <c r="B13" t="inlineStr">
        <is>
          <t>Class I</t>
        </is>
      </c>
    </row>
    <row r="14">
      <c r="A14" s="26" t="inlineStr">
        <is>
          <t>Archeological Consultant Services  / Historical Preservation Consultant Services</t>
        </is>
      </c>
      <c r="B14" t="inlineStr">
        <is>
          <t>Class I</t>
        </is>
      </c>
    </row>
    <row r="15">
      <c r="A15" s="26" t="inlineStr">
        <is>
          <t>Art Appraisers Services</t>
        </is>
      </c>
      <c r="B15" t="inlineStr">
        <is>
          <t>Class I</t>
        </is>
      </c>
    </row>
    <row r="16">
      <c r="A16" s="26" t="inlineStr">
        <is>
          <t>Association Management</t>
        </is>
      </c>
      <c r="B16" t="inlineStr">
        <is>
          <t>Class I</t>
        </is>
      </c>
    </row>
    <row r="17">
      <c r="A17" s="26" t="inlineStr">
        <is>
          <t>Auctioneer Services (Non-Real Estate)</t>
        </is>
      </c>
      <c r="B17" t="inlineStr">
        <is>
          <t>Class I</t>
        </is>
      </c>
    </row>
    <row r="18">
      <c r="A18" s="26" t="inlineStr">
        <is>
          <t>Background Check Services / Screening Services</t>
        </is>
      </c>
      <c r="B18" t="inlineStr">
        <is>
          <t>Class I</t>
        </is>
      </c>
    </row>
    <row r="19">
      <c r="A19" s="26" t="inlineStr">
        <is>
          <t>Barbering Services / Cosmetologist Services / Beautician Services</t>
        </is>
      </c>
      <c r="B19" t="inlineStr">
        <is>
          <t>Class I</t>
        </is>
      </c>
    </row>
    <row r="20">
      <c r="A20" s="26" t="inlineStr">
        <is>
          <t>Benefit Administrator Services</t>
        </is>
      </c>
      <c r="B20" t="inlineStr">
        <is>
          <t>Class I</t>
        </is>
      </c>
    </row>
    <row r="21">
      <c r="A21" s="26" t="inlineStr">
        <is>
          <t>Benefit Plan Consultant Services</t>
        </is>
      </c>
      <c r="B21" t="inlineStr">
        <is>
          <t>Class I</t>
        </is>
      </c>
    </row>
    <row r="22">
      <c r="A22" s="26" t="inlineStr">
        <is>
          <t>Billing Services (Non-Medical)</t>
        </is>
      </c>
      <c r="B22" t="inlineStr">
        <is>
          <t>Class I</t>
        </is>
      </c>
    </row>
    <row r="23">
      <c r="A23" s="26" t="inlineStr">
        <is>
          <t>Bookbinder Services</t>
        </is>
      </c>
      <c r="B23" t="inlineStr">
        <is>
          <t>Class I</t>
        </is>
      </c>
    </row>
    <row r="24">
      <c r="A24" s="26" t="inlineStr">
        <is>
          <t>Bookkeeping Services / Tax Preparation Services</t>
        </is>
      </c>
      <c r="B24" t="inlineStr">
        <is>
          <t>Class I</t>
        </is>
      </c>
    </row>
    <row r="25">
      <c r="A25" s="26" t="inlineStr">
        <is>
          <t>Business Manager Services</t>
        </is>
      </c>
      <c r="B25" t="inlineStr">
        <is>
          <t>Class I</t>
        </is>
      </c>
    </row>
    <row r="26">
      <c r="A26" s="26" t="inlineStr">
        <is>
          <t>Career Coach Services</t>
        </is>
      </c>
      <c r="B26" t="inlineStr">
        <is>
          <t>Class I</t>
        </is>
      </c>
    </row>
    <row r="27">
      <c r="A27" s="26" t="inlineStr">
        <is>
          <t>Catering Services</t>
        </is>
      </c>
      <c r="B27" t="inlineStr">
        <is>
          <t>Class I</t>
        </is>
      </c>
    </row>
    <row r="28">
      <c r="A28" s="26" t="inlineStr">
        <is>
          <t>Charm School Services</t>
        </is>
      </c>
      <c r="B28" t="inlineStr">
        <is>
          <t>Class I</t>
        </is>
      </c>
    </row>
    <row r="29">
      <c r="A29" s="26" t="inlineStr">
        <is>
          <t>Cleaning / Janitorial Services</t>
        </is>
      </c>
      <c r="B29" t="inlineStr">
        <is>
          <t>Class I</t>
        </is>
      </c>
    </row>
    <row r="30">
      <c r="A30" s="26" t="inlineStr">
        <is>
          <t>Coding Services</t>
        </is>
      </c>
      <c r="B30" t="inlineStr">
        <is>
          <t>Class I</t>
        </is>
      </c>
    </row>
    <row r="31">
      <c r="A31" s="26" t="inlineStr">
        <is>
          <t>Compliance Consultant Services</t>
        </is>
      </c>
      <c r="B31" t="inlineStr">
        <is>
          <t>Class I</t>
        </is>
      </c>
    </row>
    <row r="32">
      <c r="A32" s="26" t="inlineStr">
        <is>
          <t>Contest Manager Services</t>
        </is>
      </c>
      <c r="B32" t="inlineStr">
        <is>
          <t>Class I</t>
        </is>
      </c>
    </row>
    <row r="33">
      <c r="A33" s="26" t="inlineStr">
        <is>
          <t>Corporate Training Services</t>
        </is>
      </c>
      <c r="B33" t="inlineStr">
        <is>
          <t>Class I</t>
        </is>
      </c>
    </row>
    <row r="34">
      <c r="A34" s="26" t="inlineStr">
        <is>
          <t>Cost Containment Consultant Services</t>
        </is>
      </c>
      <c r="B34" t="inlineStr">
        <is>
          <t>Class I</t>
        </is>
      </c>
    </row>
    <row r="35">
      <c r="A35" s="26" t="inlineStr">
        <is>
          <t>Courier/Messenger Services</t>
        </is>
      </c>
      <c r="B35" t="inlineStr">
        <is>
          <t>Class I</t>
        </is>
      </c>
    </row>
    <row r="36">
      <c r="A36" s="26" t="inlineStr">
        <is>
          <t>Court Reporter Services / Stenographer Services</t>
        </is>
      </c>
      <c r="B36" t="inlineStr">
        <is>
          <t>Class I</t>
        </is>
      </c>
    </row>
    <row r="37">
      <c r="A37" s="26" t="inlineStr">
        <is>
          <t>Dance Instructor Services</t>
        </is>
      </c>
      <c r="B37" t="inlineStr">
        <is>
          <t>Class I</t>
        </is>
      </c>
    </row>
    <row r="38">
      <c r="A38" s="26" t="inlineStr">
        <is>
          <t>Document Management Services</t>
        </is>
      </c>
      <c r="B38" t="inlineStr">
        <is>
          <t>Class I</t>
        </is>
      </c>
    </row>
    <row r="39">
      <c r="A39" s="26" t="inlineStr">
        <is>
          <t>Driving Instructor Services</t>
        </is>
      </c>
      <c r="B39" t="inlineStr">
        <is>
          <t>Class I</t>
        </is>
      </c>
    </row>
    <row r="40">
      <c r="A40" s="26" t="inlineStr">
        <is>
          <t>Educational Consultant Services</t>
        </is>
      </c>
      <c r="B40" t="inlineStr">
        <is>
          <t>Class I</t>
        </is>
      </c>
    </row>
    <row r="41">
      <c r="A41" s="26" t="inlineStr">
        <is>
          <t>Election Monitoring Services</t>
        </is>
      </c>
      <c r="B41" t="inlineStr">
        <is>
          <t>Class I</t>
        </is>
      </c>
    </row>
    <row r="42">
      <c r="A42" s="26" t="inlineStr">
        <is>
          <t>Employment Agency Services</t>
        </is>
      </c>
      <c r="B42" t="inlineStr">
        <is>
          <t>Class I</t>
        </is>
      </c>
    </row>
    <row r="43">
      <c r="A43" s="26" t="inlineStr">
        <is>
          <t>Energy Consultant Services</t>
        </is>
      </c>
      <c r="B43" t="inlineStr">
        <is>
          <t>Class I</t>
        </is>
      </c>
    </row>
    <row r="44">
      <c r="A44" s="26" t="inlineStr">
        <is>
          <t>Videographer Services</t>
        </is>
      </c>
      <c r="B44" t="inlineStr">
        <is>
          <t>Class I</t>
        </is>
      </c>
    </row>
    <row r="45">
      <c r="A45" s="26" t="inlineStr">
        <is>
          <t>Entomologist Services</t>
        </is>
      </c>
      <c r="B45" t="inlineStr">
        <is>
          <t>Class I</t>
        </is>
      </c>
    </row>
    <row r="46">
      <c r="A46" s="26" t="inlineStr">
        <is>
          <t>Event / Convention / Meeting / Wedding Planning Services</t>
        </is>
      </c>
      <c r="B46" t="inlineStr">
        <is>
          <t>Class I</t>
        </is>
      </c>
    </row>
    <row r="47">
      <c r="A47" s="26" t="inlineStr">
        <is>
          <t>Expert Witness Services</t>
        </is>
      </c>
      <c r="B47" t="inlineStr">
        <is>
          <t>Class I</t>
        </is>
      </c>
    </row>
    <row r="48">
      <c r="A48" s="26" t="inlineStr">
        <is>
          <t>Farm Manager Services</t>
        </is>
      </c>
      <c r="B48" t="inlineStr">
        <is>
          <t>Class I</t>
        </is>
      </c>
    </row>
    <row r="49">
      <c r="A49" s="26" t="inlineStr">
        <is>
          <t>Fashion Services</t>
        </is>
      </c>
      <c r="B49" t="inlineStr">
        <is>
          <t>Class I</t>
        </is>
      </c>
    </row>
    <row r="50">
      <c r="A50" s="26" t="inlineStr">
        <is>
          <t>Field Inspection Services</t>
        </is>
      </c>
      <c r="B50" t="inlineStr">
        <is>
          <t>Class I</t>
        </is>
      </c>
    </row>
    <row r="51">
      <c r="A51" s="26" t="inlineStr">
        <is>
          <t>Film Editing Services</t>
        </is>
      </c>
      <c r="B51" t="inlineStr">
        <is>
          <t>Class I</t>
        </is>
      </c>
    </row>
    <row r="52">
      <c r="A52" s="26" t="inlineStr">
        <is>
          <t>Financial Planning Services</t>
        </is>
      </c>
      <c r="B52" t="inlineStr">
        <is>
          <t>Class I</t>
        </is>
      </c>
    </row>
    <row r="53">
      <c r="A53" s="26" t="inlineStr">
        <is>
          <t>Fitness Instructor Services</t>
        </is>
      </c>
      <c r="B53" t="inlineStr">
        <is>
          <t>Class I</t>
        </is>
      </c>
    </row>
    <row r="54">
      <c r="A54" s="26" t="inlineStr">
        <is>
          <t>Florist Services</t>
        </is>
      </c>
      <c r="B54" t="inlineStr">
        <is>
          <t>Class I</t>
        </is>
      </c>
    </row>
    <row r="55">
      <c r="A55" s="26" t="inlineStr">
        <is>
          <t>Forensic Analyst Services</t>
        </is>
      </c>
      <c r="B55" t="inlineStr">
        <is>
          <t>Class I</t>
        </is>
      </c>
    </row>
    <row r="56">
      <c r="A56" s="26" t="inlineStr">
        <is>
          <t>Forensic Investigator Services</t>
        </is>
      </c>
      <c r="B56" t="inlineStr">
        <is>
          <t>Class I</t>
        </is>
      </c>
    </row>
    <row r="57">
      <c r="A57" s="26" t="inlineStr">
        <is>
          <t>Forester Services</t>
        </is>
      </c>
      <c r="B57" t="inlineStr">
        <is>
          <t>Class I</t>
        </is>
      </c>
    </row>
    <row r="58">
      <c r="A58" s="26" t="inlineStr">
        <is>
          <t>Fundraising Consultant Services</t>
        </is>
      </c>
      <c r="B58" t="inlineStr">
        <is>
          <t>Class I</t>
        </is>
      </c>
    </row>
    <row r="59">
      <c r="A59" s="26" t="inlineStr">
        <is>
          <t>Gardener Services</t>
        </is>
      </c>
      <c r="B59" t="inlineStr">
        <is>
          <t>Class I</t>
        </is>
      </c>
    </row>
    <row r="60">
      <c r="A60" s="26" t="inlineStr">
        <is>
          <t>Gem Dealer Services</t>
        </is>
      </c>
      <c r="B60" t="inlineStr">
        <is>
          <t>Class I</t>
        </is>
      </c>
    </row>
    <row r="61">
      <c r="A61" s="26" t="inlineStr">
        <is>
          <t>Grant Coordinator / Grant Writer Services</t>
        </is>
      </c>
      <c r="B61" t="inlineStr">
        <is>
          <t>Class I</t>
        </is>
      </c>
    </row>
    <row r="62">
      <c r="A62" s="26" t="inlineStr">
        <is>
          <t>Graphic Design Services</t>
        </is>
      </c>
      <c r="B62" t="inlineStr">
        <is>
          <t>Class I</t>
        </is>
      </c>
    </row>
    <row r="63">
      <c r="A63" s="26" t="inlineStr">
        <is>
          <t>Guidance Counselor Services</t>
        </is>
      </c>
      <c r="B63" t="inlineStr">
        <is>
          <t>Class I</t>
        </is>
      </c>
    </row>
    <row r="64">
      <c r="A64" s="26" t="inlineStr">
        <is>
          <t>Help Desk Services</t>
        </is>
      </c>
      <c r="B64" t="inlineStr">
        <is>
          <t>Class I</t>
        </is>
      </c>
    </row>
    <row r="65">
      <c r="A65" s="26" t="inlineStr">
        <is>
          <t>Hotel Manager Services</t>
        </is>
      </c>
      <c r="B65" t="inlineStr">
        <is>
          <t>Class I</t>
        </is>
      </c>
    </row>
    <row r="66">
      <c r="A66" s="26" t="inlineStr">
        <is>
          <t>Human Resource Consultant Services</t>
        </is>
      </c>
      <c r="B66" t="inlineStr">
        <is>
          <t>Class I</t>
        </is>
      </c>
    </row>
    <row r="67">
      <c r="A67" s="26" t="inlineStr">
        <is>
          <t>Independent Insurance Adjuster / Consultant Services</t>
        </is>
      </c>
      <c r="B67" t="inlineStr">
        <is>
          <t>Class I</t>
        </is>
      </c>
    </row>
    <row r="68">
      <c r="A68" s="26" t="inlineStr">
        <is>
          <t>Insurance Risk Management Services</t>
        </is>
      </c>
      <c r="B68" t="inlineStr">
        <is>
          <t>Class I</t>
        </is>
      </c>
    </row>
    <row r="69">
      <c r="A69" s="26" t="inlineStr">
        <is>
          <t>Interior Designer Services / Interior Decorator Services</t>
        </is>
      </c>
      <c r="B69" t="inlineStr">
        <is>
          <t>Class I</t>
        </is>
      </c>
    </row>
    <row r="70">
      <c r="A70" s="26" t="inlineStr">
        <is>
          <t>Land Surveyor Services</t>
        </is>
      </c>
      <c r="B70" t="inlineStr">
        <is>
          <t>Class I</t>
        </is>
      </c>
    </row>
    <row r="71">
      <c r="A71" s="26" t="inlineStr">
        <is>
          <t>Landscape Architect / Landscape Design Services</t>
        </is>
      </c>
      <c r="B71" t="inlineStr">
        <is>
          <t>Class I</t>
        </is>
      </c>
    </row>
    <row r="72">
      <c r="A72" s="26" t="inlineStr">
        <is>
          <t>Lead Generation / Lead Referral Services</t>
        </is>
      </c>
      <c r="B72" t="inlineStr">
        <is>
          <t>Class I</t>
        </is>
      </c>
    </row>
    <row r="73">
      <c r="A73" s="26" t="inlineStr">
        <is>
          <t>Librarian Services</t>
        </is>
      </c>
      <c r="B73" t="inlineStr">
        <is>
          <t>Class I</t>
        </is>
      </c>
    </row>
    <row r="74">
      <c r="A74" s="26" t="inlineStr">
        <is>
          <t>Lighting Consultant Services</t>
        </is>
      </c>
      <c r="B74" t="inlineStr">
        <is>
          <t>Class I</t>
        </is>
      </c>
    </row>
    <row r="75">
      <c r="A75" s="26" t="inlineStr">
        <is>
          <t>Lobbyist Services</t>
        </is>
      </c>
      <c r="B75" t="inlineStr">
        <is>
          <t>Class I</t>
        </is>
      </c>
    </row>
    <row r="76">
      <c r="A76" s="26" t="inlineStr">
        <is>
          <t>Lyricist Services</t>
        </is>
      </c>
      <c r="B76" t="inlineStr">
        <is>
          <t>Class I</t>
        </is>
      </c>
    </row>
    <row r="77">
      <c r="A77" s="26" t="inlineStr">
        <is>
          <t>Mailing Services</t>
        </is>
      </c>
      <c r="B77" t="inlineStr">
        <is>
          <t>Class I</t>
        </is>
      </c>
    </row>
    <row r="78">
      <c r="A78" s="26" t="inlineStr">
        <is>
          <t>Mailing Services / Printing Services</t>
        </is>
      </c>
      <c r="B78" t="inlineStr">
        <is>
          <t>Class I</t>
        </is>
      </c>
    </row>
    <row r="79">
      <c r="A79" s="26" t="inlineStr">
        <is>
          <t>Management Consultant Services</t>
        </is>
      </c>
      <c r="B79" t="inlineStr">
        <is>
          <t>Class I</t>
        </is>
      </c>
    </row>
    <row r="80">
      <c r="A80" s="26" t="inlineStr">
        <is>
          <t>Manicurist Services / Pedicurist Services</t>
        </is>
      </c>
      <c r="B80" t="inlineStr">
        <is>
          <t>Class I</t>
        </is>
      </c>
    </row>
    <row r="81">
      <c r="A81" s="26" t="inlineStr">
        <is>
          <t>Marketing Consultant Services</t>
        </is>
      </c>
      <c r="B81" t="inlineStr">
        <is>
          <t>Class I</t>
        </is>
      </c>
    </row>
    <row r="82">
      <c r="A82" s="26" t="inlineStr">
        <is>
          <t>Martial Arts Instructor</t>
        </is>
      </c>
      <c r="B82" t="inlineStr">
        <is>
          <t>Class I</t>
        </is>
      </c>
    </row>
    <row r="83">
      <c r="A83" s="26" t="inlineStr">
        <is>
          <t>Medical Billing Services</t>
        </is>
      </c>
      <c r="B83" t="inlineStr">
        <is>
          <t>Class I</t>
        </is>
      </c>
    </row>
    <row r="84">
      <c r="A84" s="26" t="inlineStr">
        <is>
          <t>Medical Transcriptionist Services</t>
        </is>
      </c>
      <c r="B84" t="inlineStr">
        <is>
          <t>Class I</t>
        </is>
      </c>
    </row>
    <row r="85">
      <c r="A85" s="26" t="inlineStr">
        <is>
          <t>Mortgage Field Inspection Services</t>
        </is>
      </c>
      <c r="B85" t="inlineStr">
        <is>
          <t>Class I</t>
        </is>
      </c>
    </row>
    <row r="86">
      <c r="A86" s="26" t="inlineStr">
        <is>
          <t>Musical Instrument Repair Services</t>
        </is>
      </c>
      <c r="B86" t="inlineStr">
        <is>
          <t>Class I</t>
        </is>
      </c>
    </row>
    <row r="87">
      <c r="A87" s="26" t="inlineStr">
        <is>
          <t>Notary Services</t>
        </is>
      </c>
      <c r="B87" t="inlineStr">
        <is>
          <t>Class I</t>
        </is>
      </c>
    </row>
    <row r="88">
      <c r="A88" s="26" t="inlineStr">
        <is>
          <t>Opinion Polling Services</t>
        </is>
      </c>
      <c r="B88" t="inlineStr">
        <is>
          <t>Class I</t>
        </is>
      </c>
    </row>
    <row r="89">
      <c r="A89" s="26" t="inlineStr">
        <is>
          <t>Paralegal Services</t>
        </is>
      </c>
      <c r="B89" t="inlineStr">
        <is>
          <t>Class I</t>
        </is>
      </c>
    </row>
    <row r="90">
      <c r="A90" s="26" t="inlineStr">
        <is>
          <t>Personal Trainer Services</t>
        </is>
      </c>
      <c r="B90" t="inlineStr">
        <is>
          <t>Class I</t>
        </is>
      </c>
    </row>
    <row r="91">
      <c r="A91" s="26" t="inlineStr">
        <is>
          <t>Pet Services</t>
        </is>
      </c>
      <c r="B91" t="inlineStr">
        <is>
          <t>Class I</t>
        </is>
      </c>
    </row>
    <row r="92">
      <c r="A92" s="26" t="inlineStr">
        <is>
          <t>Photographer Services</t>
        </is>
      </c>
      <c r="B92" t="inlineStr">
        <is>
          <t>Class I</t>
        </is>
      </c>
    </row>
    <row r="93">
      <c r="A93" s="26" t="inlineStr">
        <is>
          <t>Photographer Services / Videographer Services</t>
        </is>
      </c>
      <c r="B93" t="inlineStr">
        <is>
          <t>Class I</t>
        </is>
      </c>
    </row>
    <row r="94">
      <c r="A94" s="26" t="inlineStr">
        <is>
          <t>Printing Services / Copying Services</t>
        </is>
      </c>
      <c r="B94" t="inlineStr">
        <is>
          <t>Class I</t>
        </is>
      </c>
    </row>
    <row r="95">
      <c r="A95" s="26" t="inlineStr">
        <is>
          <t>Private Investigator Services</t>
        </is>
      </c>
      <c r="B95" t="inlineStr">
        <is>
          <t>Class I</t>
        </is>
      </c>
    </row>
    <row r="96">
      <c r="A96" s="26" t="inlineStr">
        <is>
          <t>Process Server Services</t>
        </is>
      </c>
      <c r="B96" t="inlineStr">
        <is>
          <t>Class I</t>
        </is>
      </c>
    </row>
    <row r="97">
      <c r="A97" s="26" t="inlineStr">
        <is>
          <t>Professional Organizer Services</t>
        </is>
      </c>
      <c r="B97" t="inlineStr">
        <is>
          <t>Class I</t>
        </is>
      </c>
    </row>
    <row r="98">
      <c r="A98" s="26" t="inlineStr">
        <is>
          <t>Proof Reading Services</t>
        </is>
      </c>
      <c r="B98" t="inlineStr">
        <is>
          <t>Class I</t>
        </is>
      </c>
    </row>
    <row r="99">
      <c r="A99" s="26" t="inlineStr">
        <is>
          <t>Property Manager Services</t>
        </is>
      </c>
      <c r="B99" t="inlineStr">
        <is>
          <t>Class I</t>
        </is>
      </c>
    </row>
    <row r="100">
      <c r="A100" s="26" t="inlineStr">
        <is>
          <t>Property Preservation Services</t>
        </is>
      </c>
      <c r="B100" t="inlineStr">
        <is>
          <t>Class I</t>
        </is>
      </c>
    </row>
    <row r="101">
      <c r="A101" s="26" t="inlineStr">
        <is>
          <t>Public Relations Consultant Services</t>
        </is>
      </c>
      <c r="B101" t="inlineStr">
        <is>
          <t>Class I</t>
        </is>
      </c>
    </row>
    <row r="102">
      <c r="A102" s="26" t="inlineStr">
        <is>
          <t>Real Estate Appraisal Services</t>
        </is>
      </c>
      <c r="B102" t="inlineStr">
        <is>
          <t>Class I</t>
        </is>
      </c>
    </row>
    <row r="103">
      <c r="A103" s="26" t="inlineStr">
        <is>
          <t>Real-Time Captioning Services</t>
        </is>
      </c>
      <c r="B103" t="inlineStr">
        <is>
          <t>Class I</t>
        </is>
      </c>
    </row>
    <row r="104">
      <c r="A104" s="26" t="inlineStr">
        <is>
          <t>Recording Studio Services</t>
        </is>
      </c>
      <c r="B104" t="inlineStr">
        <is>
          <t>Class I</t>
        </is>
      </c>
    </row>
    <row r="105">
      <c r="A105" s="26" t="inlineStr">
        <is>
          <t>Referral Services</t>
        </is>
      </c>
      <c r="B105" t="inlineStr">
        <is>
          <t>Class I</t>
        </is>
      </c>
    </row>
    <row r="106">
      <c r="A106" s="26" t="inlineStr">
        <is>
          <t>Registered Agent Services</t>
        </is>
      </c>
      <c r="B106" t="inlineStr">
        <is>
          <t>Class I</t>
        </is>
      </c>
    </row>
    <row r="107">
      <c r="A107" s="26" t="inlineStr">
        <is>
          <t>Relocation Services</t>
        </is>
      </c>
      <c r="B107" t="inlineStr">
        <is>
          <t>Class I</t>
        </is>
      </c>
    </row>
    <row r="108">
      <c r="A108" s="26" t="inlineStr">
        <is>
          <t>Reserve Study Consultant Services</t>
        </is>
      </c>
      <c r="B108" t="inlineStr">
        <is>
          <t>Class I</t>
        </is>
      </c>
    </row>
    <row r="109">
      <c r="A109" s="26" t="inlineStr">
        <is>
          <t>Resume Writing Services</t>
        </is>
      </c>
      <c r="B109" t="inlineStr">
        <is>
          <t>Class I</t>
        </is>
      </c>
    </row>
    <row r="110">
      <c r="A110" s="26" t="inlineStr">
        <is>
          <t>Safety / Loss Control Consultant Services</t>
        </is>
      </c>
      <c r="B110" t="inlineStr">
        <is>
          <t>Class I</t>
        </is>
      </c>
    </row>
    <row r="111">
      <c r="A111" s="26" t="inlineStr">
        <is>
          <t>Social Security Claims Representative Services / Worker Compensation Claims Representative Services</t>
        </is>
      </c>
      <c r="B111" t="inlineStr">
        <is>
          <t>Class I</t>
        </is>
      </c>
    </row>
    <row r="112">
      <c r="A112" s="26" t="inlineStr">
        <is>
          <t>Speech Therapist Services</t>
        </is>
      </c>
      <c r="B112" t="inlineStr">
        <is>
          <t>Class I</t>
        </is>
      </c>
    </row>
    <row r="113">
      <c r="A113" s="26" t="inlineStr">
        <is>
          <t>Staffing Recruiter Services</t>
        </is>
      </c>
      <c r="B113" t="inlineStr">
        <is>
          <t>Class I</t>
        </is>
      </c>
    </row>
    <row r="114">
      <c r="A114" s="26" t="inlineStr">
        <is>
          <t>Statistical Consultant Services</t>
        </is>
      </c>
      <c r="B114" t="inlineStr">
        <is>
          <t>Class I</t>
        </is>
      </c>
    </row>
    <row r="115">
      <c r="A115" s="26" t="inlineStr">
        <is>
          <t>Subrogation Consultant Services</t>
        </is>
      </c>
      <c r="B115" t="inlineStr">
        <is>
          <t>Class I</t>
        </is>
      </c>
    </row>
    <row r="116">
      <c r="A116" s="26" t="inlineStr">
        <is>
          <t>Tailoring Services</t>
        </is>
      </c>
      <c r="B116" t="inlineStr">
        <is>
          <t>Class I</t>
        </is>
      </c>
    </row>
    <row r="117">
      <c r="A117" s="26" t="inlineStr">
        <is>
          <t>Talent Agent Services</t>
        </is>
      </c>
      <c r="B117" t="inlineStr">
        <is>
          <t>Class I</t>
        </is>
      </c>
    </row>
    <row r="118">
      <c r="A118" s="26" t="inlineStr">
        <is>
          <t>Teacher / Tutor Services</t>
        </is>
      </c>
      <c r="B118" t="inlineStr">
        <is>
          <t>Class I</t>
        </is>
      </c>
    </row>
    <row r="119">
      <c r="A119" s="26" t="inlineStr">
        <is>
          <t>Technical Writer Services</t>
        </is>
      </c>
      <c r="B119" t="inlineStr">
        <is>
          <t>Class I</t>
        </is>
      </c>
    </row>
    <row r="120">
      <c r="A120" s="26" t="inlineStr">
        <is>
          <t>Telecom Consultant Services</t>
        </is>
      </c>
      <c r="B120" t="inlineStr">
        <is>
          <t>Class I</t>
        </is>
      </c>
    </row>
    <row r="121">
      <c r="A121" s="26" t="inlineStr">
        <is>
          <t>Telemarketing Services</t>
        </is>
      </c>
      <c r="B121" t="inlineStr">
        <is>
          <t>Class I</t>
        </is>
      </c>
    </row>
    <row r="122">
      <c r="A122" s="26" t="inlineStr">
        <is>
          <t>Testing Services (Non-Medical)</t>
        </is>
      </c>
      <c r="B122" t="inlineStr">
        <is>
          <t>Class I</t>
        </is>
      </c>
    </row>
    <row r="123">
      <c r="A123" s="26" t="inlineStr">
        <is>
          <t>Ticket Broker Services</t>
        </is>
      </c>
      <c r="B123" t="inlineStr">
        <is>
          <t>Class I</t>
        </is>
      </c>
    </row>
    <row r="124">
      <c r="A124" s="26" t="inlineStr">
        <is>
          <t>Traffic / Parking Consultant Services</t>
        </is>
      </c>
      <c r="B124" t="inlineStr">
        <is>
          <t>Class I</t>
        </is>
      </c>
    </row>
    <row r="125">
      <c r="A125" s="26" t="inlineStr">
        <is>
          <t>Transcriber Services (Non-Medical)</t>
        </is>
      </c>
      <c r="B125" t="inlineStr">
        <is>
          <t>Class I</t>
        </is>
      </c>
    </row>
    <row r="126">
      <c r="A126" s="26" t="inlineStr">
        <is>
          <t>Translator Services / Interpreter Services</t>
        </is>
      </c>
      <c r="B126" t="inlineStr">
        <is>
          <t>Class I</t>
        </is>
      </c>
    </row>
    <row r="127">
      <c r="A127" s="26" t="inlineStr">
        <is>
          <t>Travel Agent Services / Tour Operator Services</t>
        </is>
      </c>
      <c r="B127" t="inlineStr">
        <is>
          <t>Class I</t>
        </is>
      </c>
    </row>
    <row r="128">
      <c r="A128" s="26" t="inlineStr">
        <is>
          <t>Typing Services (Non-Medical)</t>
        </is>
      </c>
      <c r="B128" t="inlineStr">
        <is>
          <t>Class I</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24" customWidth="1" min="1" max="1"/>
    <col width="6" customWidth="1" min="2" max="2"/>
    <col width="10" customWidth="1" min="3" max="3"/>
    <col width="24" customWidth="1" min="4" max="4"/>
    <col width="11" customWidth="1" min="5" max="5"/>
    <col width="28" customWidth="1" min="6" max="6"/>
    <col width="52" customWidth="1" min="7" max="7"/>
    <col width="46" customWidth="1" min="8" max="8"/>
  </cols>
  <sheetData>
    <row r="1">
      <c r="A1" s="223" t="inlineStr">
        <is>
          <t>field</t>
        </is>
      </c>
      <c r="B1" s="223" t="inlineStr">
        <is>
          <t>cell</t>
        </is>
      </c>
      <c r="C1" s="223" t="inlineStr">
        <is>
          <t>type</t>
        </is>
      </c>
      <c r="D1" s="223" t="inlineStr">
        <is>
          <t>label</t>
        </is>
      </c>
      <c r="E1" s="223" t="inlineStr">
        <is>
          <t>direction</t>
        </is>
      </c>
      <c r="F1" s="223" t="inlineStr">
        <is>
          <t>group</t>
        </is>
      </c>
      <c r="G1" s="223" t="inlineStr">
        <is>
          <t>options</t>
        </is>
      </c>
      <c r="H1" s="223" t="inlineStr">
        <is>
          <t>default</t>
        </is>
      </c>
    </row>
    <row r="2">
      <c r="A2" t="inlineStr">
        <is>
          <t>insured_name</t>
        </is>
      </c>
      <c r="B2" t="inlineStr">
        <is>
          <t>B1</t>
        </is>
      </c>
      <c r="C2" t="inlineStr">
        <is>
          <t>text</t>
        </is>
      </c>
      <c r="D2" t="inlineStr">
        <is>
          <t>Insured Name</t>
        </is>
      </c>
      <c r="E2" t="inlineStr">
        <is>
          <t>input</t>
        </is>
      </c>
      <c r="F2" t="inlineStr">
        <is>
          <t>Client Info</t>
        </is>
      </c>
      <c r="G2" t="inlineStr"/>
      <c r="H2" t="inlineStr">
        <is>
          <t>Test Client</t>
        </is>
      </c>
    </row>
    <row r="3">
      <c r="A3" t="inlineStr">
        <is>
          <t>address</t>
        </is>
      </c>
      <c r="B3" t="inlineStr">
        <is>
          <t>B2</t>
        </is>
      </c>
      <c r="C3" t="inlineStr">
        <is>
          <t>text</t>
        </is>
      </c>
      <c r="D3" t="inlineStr">
        <is>
          <t>Address</t>
        </is>
      </c>
      <c r="E3" t="inlineStr">
        <is>
          <t>input</t>
        </is>
      </c>
      <c r="F3" t="inlineStr">
        <is>
          <t>Client Info</t>
        </is>
      </c>
      <c r="G3" t="inlineStr"/>
      <c r="H3" t="inlineStr">
        <is>
          <t>1 Main Street Suite 200</t>
        </is>
      </c>
    </row>
    <row r="4">
      <c r="A4" t="inlineStr">
        <is>
          <t>city</t>
        </is>
      </c>
      <c r="B4" t="inlineStr">
        <is>
          <t>B3</t>
        </is>
      </c>
      <c r="C4" t="inlineStr">
        <is>
          <t>text</t>
        </is>
      </c>
      <c r="D4" t="inlineStr">
        <is>
          <t>City</t>
        </is>
      </c>
      <c r="E4" t="inlineStr">
        <is>
          <t>input</t>
        </is>
      </c>
      <c r="F4" t="inlineStr">
        <is>
          <t>Client Info</t>
        </is>
      </c>
      <c r="G4" t="inlineStr"/>
      <c r="H4" t="inlineStr">
        <is>
          <t>Colorado Springs</t>
        </is>
      </c>
    </row>
    <row r="5">
      <c r="A5" t="inlineStr">
        <is>
          <t>state</t>
        </is>
      </c>
      <c r="B5" t="inlineStr">
        <is>
          <t>B4</t>
        </is>
      </c>
      <c r="C5" t="inlineStr">
        <is>
          <t>text</t>
        </is>
      </c>
      <c r="D5" t="inlineStr">
        <is>
          <t>State</t>
        </is>
      </c>
      <c r="E5" t="inlineStr">
        <is>
          <t>input</t>
        </is>
      </c>
      <c r="F5" t="inlineStr">
        <is>
          <t>Client Info</t>
        </is>
      </c>
      <c r="G5" t="inlineStr"/>
      <c r="H5" t="inlineStr">
        <is>
          <t>CO</t>
        </is>
      </c>
    </row>
    <row r="6">
      <c r="A6" t="inlineStr">
        <is>
          <t>zip</t>
        </is>
      </c>
      <c r="B6" t="inlineStr">
        <is>
          <t>B5</t>
        </is>
      </c>
      <c r="C6" t="inlineStr">
        <is>
          <t>number</t>
        </is>
      </c>
      <c r="D6" t="inlineStr">
        <is>
          <t>Zip Code</t>
        </is>
      </c>
      <c r="E6" t="inlineStr">
        <is>
          <t>input</t>
        </is>
      </c>
      <c r="F6" t="inlineStr">
        <is>
          <t>Client Info</t>
        </is>
      </c>
      <c r="G6" t="inlineStr"/>
      <c r="H6" t="inlineStr">
        <is>
          <t>80906</t>
        </is>
      </c>
    </row>
    <row r="7">
      <c r="A7" t="inlineStr">
        <is>
          <t>phone</t>
        </is>
      </c>
      <c r="B7" t="inlineStr">
        <is>
          <t>B6</t>
        </is>
      </c>
      <c r="C7" t="inlineStr">
        <is>
          <t>text</t>
        </is>
      </c>
      <c r="D7" t="inlineStr">
        <is>
          <t>Phone</t>
        </is>
      </c>
      <c r="E7" t="inlineStr">
        <is>
          <t>input</t>
        </is>
      </c>
      <c r="F7" t="inlineStr">
        <is>
          <t>Client Info</t>
        </is>
      </c>
      <c r="G7" t="inlineStr"/>
      <c r="H7" t="inlineStr">
        <is>
          <t>303-900-2960</t>
        </is>
      </c>
    </row>
    <row r="8">
      <c r="A8" t="inlineStr">
        <is>
          <t>web_url</t>
        </is>
      </c>
      <c r="B8" t="inlineStr">
        <is>
          <t>B7</t>
        </is>
      </c>
      <c r="C8" t="inlineStr">
        <is>
          <t>text</t>
        </is>
      </c>
      <c r="D8" t="inlineStr">
        <is>
          <t>Web URL</t>
        </is>
      </c>
      <c r="E8" t="inlineStr">
        <is>
          <t>input</t>
        </is>
      </c>
      <c r="F8" t="inlineStr">
        <is>
          <t>Client Info</t>
        </is>
      </c>
      <c r="G8" t="inlineStr"/>
      <c r="H8" t="inlineStr">
        <is>
          <t>www.one80.com</t>
        </is>
      </c>
    </row>
    <row r="9">
      <c r="A9" t="inlineStr">
        <is>
          <t>state_of_risk</t>
        </is>
      </c>
      <c r="B9" t="inlineStr">
        <is>
          <t>B11</t>
        </is>
      </c>
      <c r="C9" t="inlineStr">
        <is>
          <t>dropdown</t>
        </is>
      </c>
      <c r="D9" t="inlineStr">
        <is>
          <t>State of Risk</t>
        </is>
      </c>
      <c r="E9" t="inlineStr">
        <is>
          <t>input</t>
        </is>
      </c>
      <c r="F9" t="inlineStr">
        <is>
          <t>Rating Inputs</t>
        </is>
      </c>
      <c r="G9" t="inlineStr">
        <is>
          <t>AK;AL;AR;AZ;CA;CO;CT;DC;DE;FL;GA;HI;IA;ID;IL;IN;KS;KY;LA;MA;MD;ME;MI;MN;MO;MS;MT;NC;ND;NE;NH;NJ;NM;NV;NY;OH;OK;OR;PA;RI;SC;SD;TN;TX;UT;VA;VT;WA;WI;WV;WY</t>
        </is>
      </c>
      <c r="H9" t="inlineStr">
        <is>
          <t>CO</t>
        </is>
      </c>
    </row>
    <row r="10">
      <c r="A10" t="inlineStr">
        <is>
          <t>class_description</t>
        </is>
      </c>
      <c r="B10" t="inlineStr">
        <is>
          <t>B12</t>
        </is>
      </c>
      <c r="C10" t="inlineStr">
        <is>
          <t>text</t>
        </is>
      </c>
      <c r="D10" t="inlineStr">
        <is>
          <t>Class Description</t>
        </is>
      </c>
      <c r="E10" t="inlineStr">
        <is>
          <t>input</t>
        </is>
      </c>
      <c r="F10" t="inlineStr">
        <is>
          <t>Rating Inputs</t>
        </is>
      </c>
      <c r="G10" t="inlineStr"/>
      <c r="H10" t="inlineStr">
        <is>
          <t>Animal Training Services</t>
        </is>
      </c>
    </row>
    <row r="11">
      <c r="A11" t="inlineStr">
        <is>
          <t>base_rate</t>
        </is>
      </c>
      <c r="B11" t="inlineStr">
        <is>
          <t>B13</t>
        </is>
      </c>
      <c r="C11" t="inlineStr">
        <is>
          <t>number</t>
        </is>
      </c>
      <c r="D11" t="inlineStr">
        <is>
          <t>Base Rate</t>
        </is>
      </c>
      <c r="E11" t="inlineStr">
        <is>
          <t>input</t>
        </is>
      </c>
      <c r="F11" t="inlineStr">
        <is>
          <t>Rating Inputs</t>
        </is>
      </c>
      <c r="G11" t="inlineStr"/>
      <c r="H11" t="inlineStr">
        <is>
          <t>800</t>
        </is>
      </c>
    </row>
    <row r="12">
      <c r="A12" t="inlineStr">
        <is>
          <t>revenue</t>
        </is>
      </c>
      <c r="B12" t="inlineStr">
        <is>
          <t>B16</t>
        </is>
      </c>
      <c r="C12" t="inlineStr">
        <is>
          <t>dropdown</t>
        </is>
      </c>
      <c r="D12" t="inlineStr">
        <is>
          <t>Annual Revenue</t>
        </is>
      </c>
      <c r="E12" t="inlineStr">
        <is>
          <t>input</t>
        </is>
      </c>
      <c r="F12" t="inlineStr">
        <is>
          <t>Rating Inputs</t>
        </is>
      </c>
      <c r="G12" t="inlineStr">
        <is>
          <t>$0-$250,000;$250,001-$500,000;$500,001-$1,000,000;$1,000,001-$3,000,000;$3,000,001-$6,000,000;$6,000,001-$10,000,000;$10,000,001-$20,000,000;$20,000,001-$40,000,000;$40,000,001-$60,000,000</t>
        </is>
      </c>
      <c r="H12" t="inlineStr">
        <is>
          <t>$3,000,001-$6,000,000</t>
        </is>
      </c>
    </row>
    <row r="13">
      <c r="A13" t="inlineStr">
        <is>
          <t>longevity</t>
        </is>
      </c>
      <c r="B13" t="inlineStr">
        <is>
          <t>B17</t>
        </is>
      </c>
      <c r="C13" t="inlineStr">
        <is>
          <t>dropdown</t>
        </is>
      </c>
      <c r="D13" t="inlineStr">
        <is>
          <t>Longevity</t>
        </is>
      </c>
      <c r="E13" t="inlineStr">
        <is>
          <t>input</t>
        </is>
      </c>
      <c r="F13" t="inlineStr">
        <is>
          <t>Rating Inputs</t>
        </is>
      </c>
      <c r="G13" t="inlineStr">
        <is>
          <t>10 Years or more in Business;5-10 Years in Business;Less than 5 years in Business</t>
        </is>
      </c>
      <c r="H13" t="inlineStr">
        <is>
          <t>Less than 5 years in Business</t>
        </is>
      </c>
    </row>
    <row r="14">
      <c r="A14" t="inlineStr">
        <is>
          <t>experience</t>
        </is>
      </c>
      <c r="B14" t="inlineStr">
        <is>
          <t>B18</t>
        </is>
      </c>
      <c r="C14" t="inlineStr">
        <is>
          <t>dropdown</t>
        </is>
      </c>
      <c r="D14" t="inlineStr">
        <is>
          <t>Claims Experience</t>
        </is>
      </c>
      <c r="E14" t="inlineStr">
        <is>
          <t>input</t>
        </is>
      </c>
      <c r="F14" t="inlineStr">
        <is>
          <t>Rating Inputs</t>
        </is>
      </c>
      <c r="G14" t="inlineStr">
        <is>
          <t>No claims, last 5 Years;1 claim withing retention, last 5 years;1 claim above retention, less than $50,000 last 5 years;1 claim above $50,000 and less than $100,000 last 5 years;1 claim $100,000 or more, last 5 years;2 claims within retention, last 5 years;2 or more claims, one or more above retention, less than $50,000, last 5 years;2 or more claims, one or more above $50,000, last 5 years</t>
        </is>
      </c>
      <c r="H14" t="inlineStr">
        <is>
          <t>No claims, last 5 Years</t>
        </is>
      </c>
    </row>
    <row r="15">
      <c r="A15" t="inlineStr">
        <is>
          <t>risk_management</t>
        </is>
      </c>
      <c r="B15" t="inlineStr">
        <is>
          <t>B19</t>
        </is>
      </c>
      <c r="C15" t="inlineStr">
        <is>
          <t>dropdown</t>
        </is>
      </c>
      <c r="D15" t="inlineStr">
        <is>
          <t>Risk Management</t>
        </is>
      </c>
      <c r="E15" t="inlineStr">
        <is>
          <t>input</t>
        </is>
      </c>
      <c r="F15" t="inlineStr">
        <is>
          <t>Rating Inputs</t>
        </is>
      </c>
      <c r="G15" t="inlineStr">
        <is>
          <t>Demonstrated use of favorable contracts;Adequate use of contracts;Less than adequate contract policies</t>
        </is>
      </c>
      <c r="H15" t="inlineStr">
        <is>
          <t>Demonstrated use of favorable contracts</t>
        </is>
      </c>
    </row>
    <row r="16">
      <c r="A16" t="inlineStr">
        <is>
          <t>subcontracted</t>
        </is>
      </c>
      <c r="B16" t="inlineStr">
        <is>
          <t>B20</t>
        </is>
      </c>
      <c r="C16" t="inlineStr">
        <is>
          <t>dropdown</t>
        </is>
      </c>
      <c r="D16" t="inlineStr">
        <is>
          <t>Subcontracted Work</t>
        </is>
      </c>
      <c r="E16" t="inlineStr">
        <is>
          <t>input</t>
        </is>
      </c>
      <c r="F16" t="inlineStr">
        <is>
          <t>Rating Inputs</t>
        </is>
      </c>
      <c r="G16" t="inlineStr">
        <is>
          <t>Subcontracted Work less than or equal to 25%;Subcontracted Work greater than 25% and less than 50%;Subcontracted Work more than 50%</t>
        </is>
      </c>
      <c r="H16" t="inlineStr">
        <is>
          <t>Subcontracted Work less than or equal to 25%</t>
        </is>
      </c>
    </row>
    <row r="17">
      <c r="A17" t="inlineStr">
        <is>
          <t>retro_date</t>
        </is>
      </c>
      <c r="B17" t="inlineStr">
        <is>
          <t>B21</t>
        </is>
      </c>
      <c r="C17" t="inlineStr">
        <is>
          <t>dropdown</t>
        </is>
      </c>
      <c r="D17" t="inlineStr">
        <is>
          <t>Retro Date</t>
        </is>
      </c>
      <c r="E17" t="inlineStr">
        <is>
          <t>input</t>
        </is>
      </c>
      <c r="F17" t="inlineStr">
        <is>
          <t>Rating Inputs</t>
        </is>
      </c>
      <c r="G17" t="inlineStr">
        <is>
          <t>Retro Date Inception;One Year or More Prior Acts</t>
        </is>
      </c>
      <c r="H17" t="inlineStr">
        <is>
          <t>Retro Date Inception</t>
        </is>
      </c>
    </row>
    <row r="18">
      <c r="A18" t="inlineStr">
        <is>
          <t>deductible</t>
        </is>
      </c>
      <c r="B18" t="inlineStr">
        <is>
          <t>B26</t>
        </is>
      </c>
      <c r="C18" t="inlineStr">
        <is>
          <t>dropdown</t>
        </is>
      </c>
      <c r="D18" t="inlineStr">
        <is>
          <t>Deductible</t>
        </is>
      </c>
      <c r="E18" t="inlineStr">
        <is>
          <t>input</t>
        </is>
      </c>
      <c r="F18" t="inlineStr">
        <is>
          <t>Rating Inputs</t>
        </is>
      </c>
      <c r="G18" t="inlineStr">
        <is>
          <t>1000;2500;5000;10000;25000;50000;100000</t>
        </is>
      </c>
      <c r="H18" t="inlineStr">
        <is>
          <t>5000</t>
        </is>
      </c>
    </row>
    <row r="19">
      <c r="A19" t="inlineStr">
        <is>
          <t>limit</t>
        </is>
      </c>
      <c r="B19" t="inlineStr">
        <is>
          <t>B31</t>
        </is>
      </c>
      <c r="C19" t="inlineStr">
        <is>
          <t>dropdown</t>
        </is>
      </c>
      <c r="D19" t="inlineStr">
        <is>
          <t>Policy Limit</t>
        </is>
      </c>
      <c r="E19" t="inlineStr">
        <is>
          <t>input</t>
        </is>
      </c>
      <c r="F19" t="inlineStr">
        <is>
          <t>Rating Inputs</t>
        </is>
      </c>
      <c r="G19" t="inlineStr">
        <is>
          <t>500000;1000000;2000000;3000000;5000000</t>
        </is>
      </c>
      <c r="H19" t="inlineStr">
        <is>
          <t>1000000</t>
        </is>
      </c>
    </row>
    <row r="20">
      <c r="A20" t="inlineStr">
        <is>
          <t>split_limit</t>
        </is>
      </c>
      <c r="B20" t="inlineStr">
        <is>
          <t>B36</t>
        </is>
      </c>
      <c r="C20" t="inlineStr">
        <is>
          <t>dropdown</t>
        </is>
      </c>
      <c r="D20" t="inlineStr">
        <is>
          <t>Split Limit</t>
        </is>
      </c>
      <c r="E20" t="inlineStr">
        <is>
          <t>input</t>
        </is>
      </c>
      <c r="F20" t="inlineStr">
        <is>
          <t>Rating Inputs</t>
        </is>
      </c>
      <c r="G20" t="inlineStr">
        <is>
          <t>No Split;500k/1M;1M/2M;1M/3M;1M/5M;2M/3M;2M/5M;3M/5M</t>
        </is>
      </c>
      <c r="H20" t="inlineStr">
        <is>
          <t>No Split</t>
        </is>
      </c>
    </row>
    <row r="21">
      <c r="A21" t="inlineStr">
        <is>
          <t>profile_of_jobs</t>
        </is>
      </c>
      <c r="B21" t="inlineStr">
        <is>
          <t>I11</t>
        </is>
      </c>
      <c r="C21" t="inlineStr">
        <is>
          <t>dropdown</t>
        </is>
      </c>
      <c r="D21" t="inlineStr">
        <is>
          <t>Profile of Jobs</t>
        </is>
      </c>
      <c r="E21" t="inlineStr">
        <is>
          <t>input</t>
        </is>
      </c>
      <c r="F21" t="inlineStr">
        <is>
          <t>Individual Risk Assessment</t>
        </is>
      </c>
      <c r="G21" t="inlineStr">
        <is>
          <t>Below Average Hazard;Average hazard;Above Average Hazard;Significantly Above Average Hazard</t>
        </is>
      </c>
      <c r="H21" t="inlineStr">
        <is>
          <t>Average hazard</t>
        </is>
      </c>
    </row>
    <row r="22">
      <c r="A22" t="inlineStr">
        <is>
          <t>mgmt_credentials</t>
        </is>
      </c>
      <c r="B22" t="inlineStr">
        <is>
          <t>I12</t>
        </is>
      </c>
      <c r="C22" t="inlineStr">
        <is>
          <t>dropdown</t>
        </is>
      </c>
      <c r="D22" t="inlineStr">
        <is>
          <t>Mgmt Credentials</t>
        </is>
      </c>
      <c r="E22" t="inlineStr">
        <is>
          <t>input</t>
        </is>
      </c>
      <c r="F22" t="inlineStr">
        <is>
          <t>Individual Risk Assessment</t>
        </is>
      </c>
      <c r="G22" t="inlineStr">
        <is>
          <t>Below Average Hazard;Average hazard;Above Average Hazard;Significantly Above Average Hazard</t>
        </is>
      </c>
      <c r="H22" t="inlineStr">
        <is>
          <t>Below Average Hazard</t>
        </is>
      </c>
    </row>
    <row r="23">
      <c r="A23" t="inlineStr">
        <is>
          <t>disciplinary_history</t>
        </is>
      </c>
      <c r="B23" t="inlineStr">
        <is>
          <t>I13</t>
        </is>
      </c>
      <c r="C23" t="inlineStr">
        <is>
          <t>dropdown</t>
        </is>
      </c>
      <c r="D23" t="inlineStr">
        <is>
          <t>Disciplinary History</t>
        </is>
      </c>
      <c r="E23" t="inlineStr">
        <is>
          <t>input</t>
        </is>
      </c>
      <c r="F23" t="inlineStr">
        <is>
          <t>Individual Risk Assessment</t>
        </is>
      </c>
      <c r="G23" t="inlineStr">
        <is>
          <t>Below Average Hazard;Average hazard;Above Average Hazard;Significantly Above Average Hazard</t>
        </is>
      </c>
      <c r="H23" t="inlineStr">
        <is>
          <t>Average hazard</t>
        </is>
      </c>
    </row>
    <row r="24">
      <c r="A24" t="inlineStr">
        <is>
          <t>staff_changes</t>
        </is>
      </c>
      <c r="B24" t="inlineStr">
        <is>
          <t>I14</t>
        </is>
      </c>
      <c r="C24" t="inlineStr">
        <is>
          <t>dropdown</t>
        </is>
      </c>
      <c r="D24" t="inlineStr">
        <is>
          <t>Staff Changes</t>
        </is>
      </c>
      <c r="E24" t="inlineStr">
        <is>
          <t>input</t>
        </is>
      </c>
      <c r="F24" t="inlineStr">
        <is>
          <t>Individual Risk Assessment</t>
        </is>
      </c>
      <c r="G24" t="inlineStr">
        <is>
          <t>Below Average Hazard;Average hazard;Above Average Hazard;Significantly Above Average Hazard</t>
        </is>
      </c>
      <c r="H24" t="inlineStr">
        <is>
          <t>Average hazard</t>
        </is>
      </c>
    </row>
    <row r="25">
      <c r="A25" t="inlineStr">
        <is>
          <t>regulatory_environment</t>
        </is>
      </c>
      <c r="B25" t="inlineStr">
        <is>
          <t>I15</t>
        </is>
      </c>
      <c r="C25" t="inlineStr">
        <is>
          <t>dropdown</t>
        </is>
      </c>
      <c r="D25" t="inlineStr">
        <is>
          <t>Regulatory Environment</t>
        </is>
      </c>
      <c r="E25" t="inlineStr">
        <is>
          <t>input</t>
        </is>
      </c>
      <c r="F25" t="inlineStr">
        <is>
          <t>Individual Risk Assessment</t>
        </is>
      </c>
      <c r="G25" t="inlineStr">
        <is>
          <t>Below Average Hazard;Average hazard;Above Average Hazard;Significantly Above Average Hazard</t>
        </is>
      </c>
      <c r="H25" t="inlineStr">
        <is>
          <t>Average hazard</t>
        </is>
      </c>
    </row>
    <row r="26">
      <c r="A26" t="inlineStr">
        <is>
          <t>industry_issues</t>
        </is>
      </c>
      <c r="B26" t="inlineStr">
        <is>
          <t>I16</t>
        </is>
      </c>
      <c r="C26" t="inlineStr">
        <is>
          <t>dropdown</t>
        </is>
      </c>
      <c r="D26" t="inlineStr">
        <is>
          <t>Industry Issues</t>
        </is>
      </c>
      <c r="E26" t="inlineStr">
        <is>
          <t>input</t>
        </is>
      </c>
      <c r="F26" t="inlineStr">
        <is>
          <t>Individual Risk Assessment</t>
        </is>
      </c>
      <c r="G26" t="inlineStr">
        <is>
          <t>Below Average Hazard;Average hazard;Above Average Hazard;Significantly Above Average Hazard</t>
        </is>
      </c>
      <c r="H26" t="inlineStr">
        <is>
          <t>Average hazard</t>
        </is>
      </c>
    </row>
    <row r="27">
      <c r="A27" t="inlineStr">
        <is>
          <t>internal_controls</t>
        </is>
      </c>
      <c r="B27" t="inlineStr">
        <is>
          <t>I17</t>
        </is>
      </c>
      <c r="C27" t="inlineStr">
        <is>
          <t>dropdown</t>
        </is>
      </c>
      <c r="D27" t="inlineStr">
        <is>
          <t>Internal Controls</t>
        </is>
      </c>
      <c r="E27" t="inlineStr">
        <is>
          <t>input</t>
        </is>
      </c>
      <c r="F27" t="inlineStr">
        <is>
          <t>Individual Risk Assessment</t>
        </is>
      </c>
      <c r="G27" t="inlineStr">
        <is>
          <t>Below Average Hazard;Average hazard;Above Average Hazard;Significantly Above Average Hazard</t>
        </is>
      </c>
      <c r="H27" t="inlineStr">
        <is>
          <t>Average hazard</t>
        </is>
      </c>
    </row>
    <row r="28">
      <c r="A28" t="inlineStr">
        <is>
          <t>premium</t>
        </is>
      </c>
      <c r="B28" t="inlineStr">
        <is>
          <t>B40</t>
        </is>
      </c>
      <c r="C28" t="inlineStr">
        <is>
          <t>number</t>
        </is>
      </c>
      <c r="D28" t="inlineStr">
        <is>
          <t>Total Premium</t>
        </is>
      </c>
      <c r="E28" t="inlineStr">
        <is>
          <t>output</t>
        </is>
      </c>
      <c r="F28" t="inlineStr">
        <is>
          <t>Results</t>
        </is>
      </c>
      <c r="G28" t="inlineStr"/>
      <c r="H28" t="inlineStr"/>
    </row>
    <row r="29">
      <c r="A29" t="inlineStr">
        <is>
          <t>final_multiplier</t>
        </is>
      </c>
      <c r="B29" t="inlineStr">
        <is>
          <t>B38</t>
        </is>
      </c>
      <c r="C29" t="inlineStr">
        <is>
          <t>number</t>
        </is>
      </c>
      <c r="D29" t="inlineStr">
        <is>
          <t>Final Multiplier</t>
        </is>
      </c>
      <c r="E29" t="inlineStr">
        <is>
          <t>output</t>
        </is>
      </c>
      <c r="F29" t="inlineStr">
        <is>
          <t>Results</t>
        </is>
      </c>
      <c r="G29" t="inlineStr"/>
      <c r="H29" t="inlineStr"/>
    </row>
    <row r="30">
      <c r="A30" t="inlineStr">
        <is>
          <t>rating_multiple</t>
        </is>
      </c>
      <c r="B30" t="inlineStr">
        <is>
          <t>C23</t>
        </is>
      </c>
      <c r="C30" t="inlineStr">
        <is>
          <t>number</t>
        </is>
      </c>
      <c r="D30" t="inlineStr">
        <is>
          <t>Rating Multiple</t>
        </is>
      </c>
      <c r="E30" t="inlineStr">
        <is>
          <t>output</t>
        </is>
      </c>
      <c r="F30" t="inlineStr">
        <is>
          <t>Results</t>
        </is>
      </c>
      <c r="G30" t="inlineStr"/>
      <c r="H30" t="inlineStr"/>
    </row>
    <row r="31">
      <c r="A31" t="inlineStr">
        <is>
          <t>carrier_multiple</t>
        </is>
      </c>
      <c r="B31" t="inlineStr">
        <is>
          <t>C22</t>
        </is>
      </c>
      <c r="C31" t="inlineStr">
        <is>
          <t>number</t>
        </is>
      </c>
      <c r="D31" t="inlineStr">
        <is>
          <t>Carrier Multiple</t>
        </is>
      </c>
      <c r="E31" t="inlineStr">
        <is>
          <t>output</t>
        </is>
      </c>
      <c r="F31" t="inlineStr">
        <is>
          <t>Results</t>
        </is>
      </c>
      <c r="G31" t="inlineStr"/>
      <c r="H31" t="inlineStr"/>
    </row>
    <row r="32">
      <c r="A32" t="inlineStr">
        <is>
          <t>individual_risk</t>
        </is>
      </c>
      <c r="B32" t="inlineStr">
        <is>
          <t>J18</t>
        </is>
      </c>
      <c r="C32" t="inlineStr">
        <is>
          <t>number</t>
        </is>
      </c>
      <c r="D32" t="inlineStr">
        <is>
          <t>Individual Risk</t>
        </is>
      </c>
      <c r="E32" t="inlineStr">
        <is>
          <t>output</t>
        </is>
      </c>
      <c r="F32" t="inlineStr">
        <is>
          <t>Results</t>
        </is>
      </c>
      <c r="G32" t="inlineStr"/>
      <c r="H32" t="inlineStr"/>
    </row>
    <row r="33">
      <c r="A33" t="inlineStr">
        <is>
          <t>min_deductible</t>
        </is>
      </c>
      <c r="B33" t="inlineStr">
        <is>
          <t>B25</t>
        </is>
      </c>
      <c r="C33" t="inlineStr">
        <is>
          <t>number</t>
        </is>
      </c>
      <c r="D33" t="inlineStr">
        <is>
          <t>Min Deductible</t>
        </is>
      </c>
      <c r="E33" t="inlineStr">
        <is>
          <t>output</t>
        </is>
      </c>
      <c r="F33" t="inlineStr">
        <is>
          <t>Results</t>
        </is>
      </c>
      <c r="G33" t="inlineStr"/>
      <c r="H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Martin Burlingame</dc:creator>
  <dcterms:created xmlns:dcterms="http://purl.org/dc/terms/" xmlns:xsi="http://www.w3.org/2001/XMLSchema-instance" xsi:type="dcterms:W3CDTF">2021-06-16T03:00:53Z</dcterms:created>
  <dcterms:modified xmlns:dcterms="http://purl.org/dc/terms/" xmlns:xsi="http://www.w3.org/2001/XMLSchema-instance" xsi:type="dcterms:W3CDTF">2026-03-17T13:50:42Z</dcterms:modified>
  <cp:lastModifiedBy>Siddhesh Rane</cp:lastModifiedBy>
</cp:coreProperties>
</file>