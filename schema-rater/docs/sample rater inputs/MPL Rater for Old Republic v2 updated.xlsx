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Siddhesh\cogitate-project\docs\"/>
    </mc:Choice>
  </mc:AlternateContent>
  <xr:revisionPtr revIDLastSave="0" documentId="13_ncr:1_{7445B8B1-C4AB-44C0-A09F-24C2F6146DD7}" xr6:coauthVersionLast="47" xr6:coauthVersionMax="47" xr10:uidLastSave="{00000000-0000-0000-0000-000000000000}"/>
  <bookViews>
    <workbookView xWindow="-110" yWindow="-110" windowWidth="19420" windowHeight="11500" xr2:uid="{00000000-000D-0000-FFFF-FFFF00000000}"/>
  </bookViews>
  <sheets>
    <sheet name="Rater" sheetId="1" r:id="rId1"/>
    <sheet name="Application" sheetId="5" r:id="rId2"/>
    <sheet name="Pick List" sheetId="2" r:id="rId3"/>
    <sheet name="Concatanate" sheetId="3" r:id="rId4"/>
    <sheet name="Code" sheetId="4" r:id="rId5"/>
  </sheets>
  <externalReferences>
    <externalReference r:id="rId6"/>
  </externalReferences>
  <definedNames>
    <definedName name="Coverage_A">[1]Input!$C$21</definedName>
    <definedName name="Coverage_B">[1]Input!$C$22</definedName>
    <definedName name="Coverage_C">[1]Input!$C$23</definedName>
    <definedName name="Coverage_D">[1]Input!$C$24</definedName>
    <definedName name="Coverage_Liability">[1]Input!$C$28</definedName>
    <definedName name="Coverage_Medical">[1]Input!$C$29</definedName>
    <definedName name="Premium_Liability">[1]Input!$AD$27</definedName>
    <definedName name="Premium_Property">[1]Input!$AD$24</definedName>
    <definedName name="Property_Owner_Name">[1]Input!$D$7</definedName>
    <definedName name="Property_Owner_Street_Address">[1]Input!$D$11</definedName>
    <definedName name="Property_Owner_Zip_Code">[1]Input!$J$12</definedName>
    <definedName name="Property_Update_Roof">[1]Input!$I$31</definedName>
    <definedName name="Year_Built">[1]Input!$F$28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1" l="1"/>
  <c r="F11" i="5"/>
  <c r="E11" i="5"/>
  <c r="B11" i="5"/>
  <c r="B10" i="5"/>
  <c r="B9" i="5"/>
  <c r="D176" i="5"/>
  <c r="D181" i="5" s="1"/>
  <c r="D173" i="5"/>
  <c r="D172" i="5"/>
  <c r="D171" i="5"/>
  <c r="D170" i="5"/>
  <c r="D169" i="5"/>
  <c r="D168" i="5"/>
  <c r="D167" i="5"/>
  <c r="D161" i="5"/>
  <c r="D160" i="5"/>
  <c r="D159" i="5"/>
  <c r="D158" i="5"/>
  <c r="D157" i="5"/>
  <c r="D156" i="5"/>
  <c r="D155" i="5"/>
  <c r="D154" i="5"/>
  <c r="D153" i="5"/>
  <c r="D151" i="5"/>
  <c r="D150" i="5"/>
  <c r="D149" i="5"/>
  <c r="D148" i="5"/>
  <c r="D147" i="5"/>
  <c r="D144" i="5"/>
  <c r="D143" i="5"/>
  <c r="D142" i="5"/>
  <c r="D141" i="5"/>
  <c r="D140" i="5"/>
  <c r="D139" i="5"/>
  <c r="D138" i="5"/>
  <c r="D137" i="5"/>
  <c r="D134" i="5"/>
  <c r="D133" i="5"/>
  <c r="D132" i="5"/>
  <c r="D131" i="5"/>
  <c r="D130" i="5"/>
  <c r="D129" i="5"/>
  <c r="C56" i="5"/>
  <c r="C55" i="5"/>
  <c r="C54" i="5"/>
  <c r="C53" i="5"/>
  <c r="C52" i="5"/>
  <c r="C51" i="5"/>
  <c r="C50" i="5"/>
  <c r="C49" i="5"/>
  <c r="C48" i="5"/>
  <c r="C57" i="5" s="1"/>
  <c r="B39" i="5"/>
  <c r="B38" i="5"/>
  <c r="C36" i="5"/>
  <c r="C35" i="5"/>
  <c r="C34" i="5"/>
  <c r="C33" i="5"/>
  <c r="C32" i="5"/>
  <c r="C31" i="5"/>
  <c r="C26" i="5"/>
  <c r="D177" i="5" l="1"/>
  <c r="D178" i="5"/>
  <c r="D179" i="5"/>
  <c r="D180" i="5"/>
  <c r="B15" i="1" l="1"/>
  <c r="J17" i="1" l="1"/>
  <c r="J16" i="1"/>
  <c r="J15" i="1"/>
  <c r="J14" i="1"/>
  <c r="J13" i="1"/>
  <c r="J12" i="1"/>
  <c r="J11" i="1"/>
  <c r="D36" i="1"/>
  <c r="C36" i="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1" i="3"/>
  <c r="A41" i="2"/>
  <c r="C21" i="1"/>
  <c r="C19" i="1"/>
  <c r="C17" i="1"/>
  <c r="B25" i="1"/>
  <c r="B33" i="1" l="1"/>
  <c r="J18" i="1"/>
  <c r="C22" i="1" s="1"/>
  <c r="C23" i="1" s="1"/>
  <c r="B38" i="1" l="1"/>
  <c r="B40" i="1" s="1"/>
</calcChain>
</file>

<file path=xl/sharedStrings.xml><?xml version="1.0" encoding="utf-8"?>
<sst xmlns="http://schemas.openxmlformats.org/spreadsheetml/2006/main" count="966" uniqueCount="457">
  <si>
    <t>Revenue</t>
  </si>
  <si>
    <t>Longevity</t>
  </si>
  <si>
    <t>Experience</t>
  </si>
  <si>
    <t>Risk management</t>
  </si>
  <si>
    <t>Sub-Contracted Work</t>
  </si>
  <si>
    <t>Retroactive Date</t>
  </si>
  <si>
    <t xml:space="preserve">Individual Risk </t>
  </si>
  <si>
    <t>Class</t>
  </si>
  <si>
    <t>Class I</t>
  </si>
  <si>
    <t>Class II</t>
  </si>
  <si>
    <t>Class III</t>
  </si>
  <si>
    <t>Class IV</t>
  </si>
  <si>
    <t>REFER</t>
  </si>
  <si>
    <t>CLASS</t>
  </si>
  <si>
    <t>RATE</t>
  </si>
  <si>
    <t>Examples</t>
  </si>
  <si>
    <t>Base Rate</t>
  </si>
  <si>
    <t>Rating Codes</t>
  </si>
  <si>
    <t>Multiple</t>
  </si>
  <si>
    <t>Selection</t>
  </si>
  <si>
    <t>Management Consulting, marketing Consulting, Education Consulting, Energy Conservation, Travel Agency, printers, Grant Writing, Interpreting, Translating</t>
  </si>
  <si>
    <t>IT Consulting, Software Development, fullfillment Services, Agricultural Consulting, Event Planning</t>
  </si>
  <si>
    <t>Medical Billing, Utility Billing, Other Billing, Employment Agencies, Staffing Firms, Auctioneer, Technical Energy Consulting, Background Screening, Custom Brokers, Freight Forwarders, Landscape Architects</t>
  </si>
  <si>
    <t>Surveyors, Franchisor services, Claims Adjusters, archeological consultants, Home Inspection Services, Other Inspection Services, Real Estate Agents, property Management, Construction Management (Non- GCs), Trustees, Receivers</t>
  </si>
  <si>
    <t>Certification Services, Safety Consultants, TPAs, Real Estate Appraisers, testing Labs, Inspectors with Heaby BI/PD exposure</t>
  </si>
  <si>
    <t>$0-$250,000</t>
  </si>
  <si>
    <t>$250,001-$500,000</t>
  </si>
  <si>
    <t>$500,001-$1,000,000</t>
  </si>
  <si>
    <t>$1,000,001-$3,000,000</t>
  </si>
  <si>
    <t>$3,000,001-$6,000,000</t>
  </si>
  <si>
    <t>$6,000,001-$10,000,000</t>
  </si>
  <si>
    <t>$10,000,001-$20,000,000</t>
  </si>
  <si>
    <t>$20,000,001-$40,000,000</t>
  </si>
  <si>
    <t>$40,000,001-$60,000,000</t>
  </si>
  <si>
    <t>MINIMUM DEDUCTIBLE</t>
  </si>
  <si>
    <t>10 Years or more in Business</t>
  </si>
  <si>
    <t>5-10 Years in Business</t>
  </si>
  <si>
    <t>Less than 5 years in Business</t>
  </si>
  <si>
    <t>No claims, last 5 Years</t>
  </si>
  <si>
    <t>1 claim withing retention, last 5 years</t>
  </si>
  <si>
    <t>1 claim above retention, less than $50,000 last 5 years</t>
  </si>
  <si>
    <t>1 claim above $50,000 and less than $100,000 last 5 years</t>
  </si>
  <si>
    <t>1 claim $100,000 or more, last 5 years</t>
  </si>
  <si>
    <t>2 claims within retention, last 5 years</t>
  </si>
  <si>
    <t>2 or more claims, one or more above retention, less than $50,000, last 5 years</t>
  </si>
  <si>
    <t>2 or more claims, one or more above $50,000, last 5 years</t>
  </si>
  <si>
    <t>Demonstrated use of favorable contracts</t>
  </si>
  <si>
    <t>Adequate use of contracts</t>
  </si>
  <si>
    <t>Less than adequate contract policies</t>
  </si>
  <si>
    <t>Subcontracted Work less than or equal to 25%</t>
  </si>
  <si>
    <t>Subcontracted Work greater than 25% and less than 50%</t>
  </si>
  <si>
    <t>Subcontracted Work more than 50%</t>
  </si>
  <si>
    <t>Retro Date Inception</t>
  </si>
  <si>
    <t>One Year or More Prior Acts</t>
  </si>
  <si>
    <t>RETRO DATE</t>
  </si>
  <si>
    <t>(Select RDI [retro Date Inception] or a Date</t>
  </si>
  <si>
    <t>Limit</t>
  </si>
  <si>
    <t>RATING MULTIPLE</t>
  </si>
  <si>
    <t>* For Revenue up to $3,000,000 and limits of MAX $1,000,000 a $1,000 Deductible is an option</t>
  </si>
  <si>
    <t>DEDUCTIBLE SELECTED</t>
  </si>
  <si>
    <t>Deductible/Limit/Size</t>
  </si>
  <si>
    <t>Split Limit Option</t>
  </si>
  <si>
    <t>Profile of Jobs</t>
  </si>
  <si>
    <t>management Credentials</t>
  </si>
  <si>
    <t>History of Disciplinary Actions</t>
  </si>
  <si>
    <t>Changes in Staff/Operations</t>
  </si>
  <si>
    <t>Industry Regulatory Environment</t>
  </si>
  <si>
    <t>Industry Issues</t>
  </si>
  <si>
    <t>Internal Controls</t>
  </si>
  <si>
    <t>No Split</t>
  </si>
  <si>
    <t>500k/1M</t>
  </si>
  <si>
    <t>1M/2M</t>
  </si>
  <si>
    <t>1M/3M</t>
  </si>
  <si>
    <t>2M/3M</t>
  </si>
  <si>
    <t>2M/5M</t>
  </si>
  <si>
    <t>3M/5M</t>
  </si>
  <si>
    <t>1M/5M</t>
  </si>
  <si>
    <t>Rate</t>
  </si>
  <si>
    <t>Description</t>
  </si>
  <si>
    <t>Single Limit as shown in Cell B21</t>
  </si>
  <si>
    <t>Use 1M Limit in Cell B21</t>
  </si>
  <si>
    <t>Use 2M Limit in Cell B21</t>
  </si>
  <si>
    <t>Use 3M Limit in Cell B21</t>
  </si>
  <si>
    <t>FINAL MULIPLIER</t>
  </si>
  <si>
    <t>PREMIUM</t>
  </si>
  <si>
    <t>EXAMPLE</t>
  </si>
  <si>
    <t>STATE OF RISK</t>
  </si>
  <si>
    <t>Below Average Hazard</t>
  </si>
  <si>
    <t>Average hazard</t>
  </si>
  <si>
    <t>Above Average Hazard</t>
  </si>
  <si>
    <t>Significantly Above Average Hazard</t>
  </si>
  <si>
    <t>Individual Risk TOTAL</t>
  </si>
  <si>
    <t>IN IOWA MAX LIMIT IS +/- 25% for Individual Risk unless using E&amp;S Paper</t>
  </si>
  <si>
    <t>IN NORTH CAROLINA MINIMUM IS .75 AND MAX IS 1.5 UNLESS USING E&amp;S PAPER</t>
  </si>
  <si>
    <t>NOTE (If State specific feel free to overide cell C12)</t>
  </si>
  <si>
    <t>IN DELAWARE MINIMUM IS .75 AND MAX IS 1.5 UNLESS USING E&amp;S PAPER</t>
  </si>
  <si>
    <t>IN MARYLAND MINIMUM IS .75 AND MAX IS 1.5 UNLESS USING E&amp;S PAPER</t>
  </si>
  <si>
    <t>IN MASSACHUSETTES MINIMUM IS .75 AND MAX IS 1.5 UNLESS USING E&amp;S PAPER</t>
  </si>
  <si>
    <t>IN NORTH DAKOTA MINIMUM IS .75 AND MAX IS 1.5 UNLESS USING E&amp;S PAPER</t>
  </si>
  <si>
    <t>IN OHIO MAX LIMIT IS +/- 25% for Individual Risk unless using E&amp;S Paper</t>
  </si>
  <si>
    <t>OR</t>
  </si>
  <si>
    <t>Category</t>
  </si>
  <si>
    <t>State</t>
  </si>
  <si>
    <t>Code</t>
  </si>
  <si>
    <r>
      <rPr>
        <sz val="10"/>
        <color rgb="FF231F20"/>
        <rFont val="Calibri"/>
        <family val="2"/>
      </rPr>
      <t>Accident Reconstruction Services</t>
    </r>
  </si>
  <si>
    <r>
      <rPr>
        <sz val="10"/>
        <color rgb="FF231F20"/>
        <rFont val="Calibri"/>
        <family val="2"/>
      </rPr>
      <t>Acoustic Consultant Services</t>
    </r>
  </si>
  <si>
    <r>
      <rPr>
        <sz val="10"/>
        <color rgb="FF231F20"/>
        <rFont val="Calibri"/>
        <family val="2"/>
      </rPr>
      <t>Advertising Services / Media Services</t>
    </r>
  </si>
  <si>
    <r>
      <rPr>
        <sz val="10"/>
        <color rgb="FF231F20"/>
        <rFont val="Calibri"/>
        <family val="2"/>
      </rPr>
      <t>Animal Training Services</t>
    </r>
  </si>
  <si>
    <r>
      <rPr>
        <sz val="10"/>
        <color rgb="FF231F20"/>
        <rFont val="Calibri"/>
        <family val="2"/>
      </rPr>
      <t>Answering Service / Call Center Services / Paging Services</t>
    </r>
  </si>
  <si>
    <r>
      <rPr>
        <sz val="10"/>
        <color rgb="FF231F20"/>
        <rFont val="Calibri"/>
        <family val="2"/>
      </rPr>
      <t>Anthologist Services</t>
    </r>
  </si>
  <si>
    <r>
      <rPr>
        <sz val="10"/>
        <color rgb="FF231F20"/>
        <rFont val="Calibri"/>
        <family val="2"/>
      </rPr>
      <t>Anthropologist Services</t>
    </r>
  </si>
  <si>
    <r>
      <rPr>
        <sz val="10"/>
        <color rgb="FF231F20"/>
        <rFont val="Calibri"/>
        <family val="2"/>
      </rPr>
      <t>Antique Dealer</t>
    </r>
  </si>
  <si>
    <r>
      <rPr>
        <sz val="10"/>
        <color rgb="FF231F20"/>
        <rFont val="Calibri"/>
        <family val="2"/>
      </rPr>
      <t>Appraisal Services (Non-Real Estate)</t>
    </r>
  </si>
  <si>
    <r>
      <rPr>
        <sz val="10"/>
        <color rgb="FF231F20"/>
        <rFont val="Calibri"/>
        <family val="2"/>
      </rPr>
      <t>Appraisal Services (Non-Real Estate) / Auctioneering Services (Non-Real Estate)</t>
    </r>
  </si>
  <si>
    <r>
      <rPr>
        <sz val="10"/>
        <color rgb="FF231F20"/>
        <rFont val="Calibri"/>
        <family val="2"/>
      </rPr>
      <t>Arbitrator Services / Mediator Services</t>
    </r>
  </si>
  <si>
    <r>
      <rPr>
        <sz val="10"/>
        <color rgb="FF231F20"/>
        <rFont val="Calibri"/>
        <family val="2"/>
      </rPr>
      <t>Arborist Services</t>
    </r>
  </si>
  <si>
    <r>
      <rPr>
        <sz val="10"/>
        <color rgb="FF231F20"/>
        <rFont val="Calibri"/>
        <family val="2"/>
      </rPr>
      <t>Archeological Consultant Services  / Historical Preservation Consultant Services</t>
    </r>
  </si>
  <si>
    <r>
      <rPr>
        <sz val="10"/>
        <color rgb="FF231F20"/>
        <rFont val="Calibri"/>
        <family val="2"/>
      </rPr>
      <t>Art Appraisers Services</t>
    </r>
  </si>
  <si>
    <r>
      <rPr>
        <sz val="10"/>
        <color rgb="FF231F20"/>
        <rFont val="Calibri"/>
        <family val="2"/>
      </rPr>
      <t>Association Management</t>
    </r>
  </si>
  <si>
    <r>
      <rPr>
        <sz val="10"/>
        <color rgb="FF231F20"/>
        <rFont val="Calibri"/>
        <family val="2"/>
      </rPr>
      <t>Auctioneer Services (Non-Real Estate)</t>
    </r>
  </si>
  <si>
    <r>
      <rPr>
        <sz val="10"/>
        <color rgb="FF231F20"/>
        <rFont val="Calibri"/>
        <family val="2"/>
      </rPr>
      <t>Background Check Services / Screening Services</t>
    </r>
  </si>
  <si>
    <r>
      <rPr>
        <sz val="10"/>
        <color rgb="FF231F20"/>
        <rFont val="Calibri"/>
        <family val="2"/>
      </rPr>
      <t>Barbering Services / Cosmetologist Services / Beautician Services</t>
    </r>
  </si>
  <si>
    <r>
      <rPr>
        <sz val="10"/>
        <color rgb="FF231F20"/>
        <rFont val="Calibri"/>
        <family val="2"/>
      </rPr>
      <t>Benefit Administrator Services</t>
    </r>
  </si>
  <si>
    <r>
      <rPr>
        <sz val="10"/>
        <color rgb="FF231F20"/>
        <rFont val="Calibri"/>
        <family val="2"/>
      </rPr>
      <t>Benefit Plan Consultant Services</t>
    </r>
  </si>
  <si>
    <r>
      <rPr>
        <sz val="10"/>
        <color rgb="FF231F20"/>
        <rFont val="Calibri"/>
        <family val="2"/>
      </rPr>
      <t>Billing Services (Non-Medical)</t>
    </r>
  </si>
  <si>
    <r>
      <rPr>
        <sz val="10"/>
        <color rgb="FF231F20"/>
        <rFont val="Calibri"/>
        <family val="2"/>
      </rPr>
      <t>Bookbinder Services</t>
    </r>
  </si>
  <si>
    <r>
      <rPr>
        <sz val="10"/>
        <color rgb="FF231F20"/>
        <rFont val="Calibri"/>
        <family val="2"/>
      </rPr>
      <t>Bookkeeping Services / Tax Preparation Services</t>
    </r>
  </si>
  <si>
    <r>
      <rPr>
        <sz val="10"/>
        <color rgb="FF231F20"/>
        <rFont val="Calibri"/>
        <family val="2"/>
      </rPr>
      <t>Business Manager Services</t>
    </r>
  </si>
  <si>
    <r>
      <rPr>
        <sz val="10"/>
        <color rgb="FF231F20"/>
        <rFont val="Calibri"/>
        <family val="2"/>
      </rPr>
      <t>Career Coach Services</t>
    </r>
  </si>
  <si>
    <r>
      <rPr>
        <sz val="10"/>
        <color rgb="FF231F20"/>
        <rFont val="Calibri"/>
        <family val="2"/>
      </rPr>
      <t>Catering Services</t>
    </r>
  </si>
  <si>
    <r>
      <rPr>
        <sz val="10"/>
        <color rgb="FF231F20"/>
        <rFont val="Calibri"/>
        <family val="2"/>
      </rPr>
      <t>Charm School Services</t>
    </r>
  </si>
  <si>
    <r>
      <rPr>
        <sz val="10"/>
        <color rgb="FF231F20"/>
        <rFont val="Calibri"/>
        <family val="2"/>
      </rPr>
      <t>Cleaning / Janitorial Services</t>
    </r>
  </si>
  <si>
    <r>
      <rPr>
        <sz val="10"/>
        <color rgb="FF231F20"/>
        <rFont val="Calibri"/>
        <family val="2"/>
      </rPr>
      <t>Coding Services</t>
    </r>
  </si>
  <si>
    <r>
      <rPr>
        <sz val="10"/>
        <color rgb="FF231F20"/>
        <rFont val="Calibri"/>
        <family val="2"/>
      </rPr>
      <t>Compliance Consultant Services</t>
    </r>
  </si>
  <si>
    <r>
      <rPr>
        <sz val="10"/>
        <color rgb="FF231F20"/>
        <rFont val="Calibri"/>
        <family val="2"/>
      </rPr>
      <t>Contest Manager Services</t>
    </r>
  </si>
  <si>
    <r>
      <rPr>
        <sz val="10"/>
        <color rgb="FF231F20"/>
        <rFont val="Calibri"/>
        <family val="2"/>
      </rPr>
      <t>Corporate Training Services</t>
    </r>
  </si>
  <si>
    <r>
      <rPr>
        <sz val="10"/>
        <color rgb="FF231F20"/>
        <rFont val="Calibri"/>
        <family val="2"/>
      </rPr>
      <t>Cost Containment Consultant Services</t>
    </r>
  </si>
  <si>
    <r>
      <rPr>
        <sz val="10"/>
        <color rgb="FF231F20"/>
        <rFont val="Calibri"/>
        <family val="2"/>
      </rPr>
      <t>Courier/Messenger Services</t>
    </r>
  </si>
  <si>
    <r>
      <rPr>
        <sz val="10"/>
        <color rgb="FF231F20"/>
        <rFont val="Calibri"/>
        <family val="2"/>
      </rPr>
      <t>Court Reporter Services / Stenographer Services</t>
    </r>
  </si>
  <si>
    <r>
      <rPr>
        <sz val="10"/>
        <color rgb="FF231F20"/>
        <rFont val="Calibri"/>
        <family val="2"/>
      </rPr>
      <t>Dance Instructor Services</t>
    </r>
  </si>
  <si>
    <r>
      <rPr>
        <sz val="10"/>
        <color rgb="FF231F20"/>
        <rFont val="Calibri"/>
        <family val="2"/>
      </rPr>
      <t>Document Management Services</t>
    </r>
  </si>
  <si>
    <r>
      <rPr>
        <sz val="10"/>
        <color rgb="FF231F20"/>
        <rFont val="Calibri"/>
        <family val="2"/>
      </rPr>
      <t>Driving Instructor Services</t>
    </r>
  </si>
  <si>
    <r>
      <rPr>
        <sz val="10"/>
        <color rgb="FF231F20"/>
        <rFont val="Calibri"/>
        <family val="2"/>
      </rPr>
      <t>Educational Consultant Services</t>
    </r>
  </si>
  <si>
    <r>
      <rPr>
        <sz val="10"/>
        <color rgb="FF231F20"/>
        <rFont val="Calibri"/>
        <family val="2"/>
      </rPr>
      <t>Election Monitoring Services</t>
    </r>
  </si>
  <si>
    <r>
      <rPr>
        <sz val="10"/>
        <color rgb="FF231F20"/>
        <rFont val="Calibri"/>
        <family val="2"/>
      </rPr>
      <t>Employment Agency Services</t>
    </r>
  </si>
  <si>
    <r>
      <rPr>
        <sz val="10"/>
        <color rgb="FF231F20"/>
        <rFont val="Calibri"/>
        <family val="2"/>
      </rPr>
      <t>Energy Consultant Services</t>
    </r>
  </si>
  <si>
    <r>
      <rPr>
        <sz val="10"/>
        <color rgb="FF231F20"/>
        <rFont val="Calibri"/>
        <family val="2"/>
      </rPr>
      <t>Videographer Services</t>
    </r>
  </si>
  <si>
    <r>
      <rPr>
        <sz val="10"/>
        <color rgb="FF231F20"/>
        <rFont val="Calibri"/>
        <family val="2"/>
      </rPr>
      <t>Entomologist Services</t>
    </r>
  </si>
  <si>
    <r>
      <rPr>
        <sz val="10"/>
        <color rgb="FF231F20"/>
        <rFont val="Calibri"/>
        <family val="2"/>
      </rPr>
      <t>Event / Convention / Meeting / Wedding Planning Services</t>
    </r>
  </si>
  <si>
    <r>
      <rPr>
        <sz val="10"/>
        <color rgb="FF231F20"/>
        <rFont val="Calibri"/>
        <family val="2"/>
      </rPr>
      <t>Expert Witness Services</t>
    </r>
  </si>
  <si>
    <r>
      <rPr>
        <sz val="10"/>
        <color rgb="FF231F20"/>
        <rFont val="Calibri"/>
        <family val="2"/>
      </rPr>
      <t>Farm Manager Services</t>
    </r>
  </si>
  <si>
    <r>
      <rPr>
        <sz val="10"/>
        <color rgb="FF231F20"/>
        <rFont val="Calibri"/>
        <family val="2"/>
      </rPr>
      <t>Fashion Services</t>
    </r>
  </si>
  <si>
    <r>
      <rPr>
        <sz val="10"/>
        <color rgb="FF231F20"/>
        <rFont val="Calibri"/>
        <family val="2"/>
      </rPr>
      <t>Field Inspection Services</t>
    </r>
  </si>
  <si>
    <r>
      <rPr>
        <sz val="10"/>
        <color rgb="FF231F20"/>
        <rFont val="Calibri"/>
        <family val="2"/>
      </rPr>
      <t>Film Editing Services</t>
    </r>
  </si>
  <si>
    <r>
      <rPr>
        <sz val="10"/>
        <color rgb="FF231F20"/>
        <rFont val="Calibri"/>
        <family val="2"/>
      </rPr>
      <t>Financial Planning Services</t>
    </r>
  </si>
  <si>
    <r>
      <rPr>
        <sz val="10"/>
        <color rgb="FF231F20"/>
        <rFont val="Calibri"/>
        <family val="2"/>
      </rPr>
      <t>Fitness Instructor Services</t>
    </r>
  </si>
  <si>
    <r>
      <rPr>
        <sz val="10"/>
        <color rgb="FF231F20"/>
        <rFont val="Calibri"/>
        <family val="2"/>
      </rPr>
      <t>Florist Services</t>
    </r>
  </si>
  <si>
    <r>
      <rPr>
        <sz val="10"/>
        <color rgb="FF231F20"/>
        <rFont val="Calibri"/>
        <family val="2"/>
      </rPr>
      <t>Forensic Analyst Services</t>
    </r>
  </si>
  <si>
    <r>
      <rPr>
        <sz val="10"/>
        <color rgb="FF231F20"/>
        <rFont val="Calibri"/>
        <family val="2"/>
      </rPr>
      <t>Forensic Investigator Services</t>
    </r>
  </si>
  <si>
    <r>
      <rPr>
        <sz val="10"/>
        <color rgb="FF231F20"/>
        <rFont val="Calibri"/>
        <family val="2"/>
      </rPr>
      <t>Forester Services</t>
    </r>
  </si>
  <si>
    <r>
      <rPr>
        <sz val="10"/>
        <color rgb="FF231F20"/>
        <rFont val="Calibri"/>
        <family val="2"/>
      </rPr>
      <t>Fundraising Consultant Services</t>
    </r>
  </si>
  <si>
    <r>
      <rPr>
        <sz val="10"/>
        <color rgb="FF231F20"/>
        <rFont val="Calibri"/>
        <family val="2"/>
      </rPr>
      <t>Gardener Services</t>
    </r>
  </si>
  <si>
    <r>
      <rPr>
        <sz val="10"/>
        <color rgb="FF231F20"/>
        <rFont val="Calibri"/>
        <family val="2"/>
      </rPr>
      <t>Gem Dealer Services</t>
    </r>
  </si>
  <si>
    <r>
      <rPr>
        <sz val="10"/>
        <color rgb="FF231F20"/>
        <rFont val="Calibri"/>
        <family val="2"/>
      </rPr>
      <t>Grant Coordinator / Grant Writer Services</t>
    </r>
  </si>
  <si>
    <r>
      <rPr>
        <sz val="10"/>
        <color rgb="FF231F20"/>
        <rFont val="Calibri"/>
        <family val="2"/>
      </rPr>
      <t>Graphic Design Services</t>
    </r>
  </si>
  <si>
    <r>
      <rPr>
        <sz val="10"/>
        <color rgb="FF231F20"/>
        <rFont val="Calibri"/>
        <family val="2"/>
      </rPr>
      <t>Guidance Counselor Services</t>
    </r>
  </si>
  <si>
    <r>
      <rPr>
        <sz val="10"/>
        <color rgb="FF231F20"/>
        <rFont val="Calibri"/>
        <family val="2"/>
      </rPr>
      <t>Help Desk Services</t>
    </r>
  </si>
  <si>
    <r>
      <rPr>
        <sz val="10"/>
        <color rgb="FF231F20"/>
        <rFont val="Calibri"/>
        <family val="2"/>
      </rPr>
      <t>Hotel Manager Services</t>
    </r>
  </si>
  <si>
    <r>
      <rPr>
        <sz val="10"/>
        <color rgb="FF231F20"/>
        <rFont val="Calibri"/>
        <family val="2"/>
      </rPr>
      <t>Human Resource Consultant Services</t>
    </r>
  </si>
  <si>
    <r>
      <rPr>
        <sz val="10"/>
        <color rgb="FF231F20"/>
        <rFont val="Calibri"/>
        <family val="2"/>
      </rPr>
      <t>Independent Insurance Adjuster / Consultant Services</t>
    </r>
  </si>
  <si>
    <r>
      <rPr>
        <sz val="10"/>
        <color rgb="FF231F20"/>
        <rFont val="Calibri"/>
        <family val="2"/>
      </rPr>
      <t>Insurance Risk Management Services</t>
    </r>
  </si>
  <si>
    <r>
      <rPr>
        <sz val="10"/>
        <color rgb="FF231F20"/>
        <rFont val="Calibri"/>
        <family val="2"/>
      </rPr>
      <t>Interior Designer Services / Interior Decorator Services</t>
    </r>
  </si>
  <si>
    <r>
      <rPr>
        <sz val="10"/>
        <color rgb="FF231F20"/>
        <rFont val="Calibri"/>
        <family val="2"/>
      </rPr>
      <t>Land Surveyor Services</t>
    </r>
  </si>
  <si>
    <r>
      <rPr>
        <sz val="10"/>
        <color rgb="FF231F20"/>
        <rFont val="Calibri"/>
        <family val="2"/>
      </rPr>
      <t>Landscape Architect / Landscape Design Services</t>
    </r>
  </si>
  <si>
    <r>
      <rPr>
        <sz val="10"/>
        <color rgb="FF231F20"/>
        <rFont val="Calibri"/>
        <family val="2"/>
      </rPr>
      <t>Lead Generation / Lead Referral Services</t>
    </r>
  </si>
  <si>
    <r>
      <rPr>
        <sz val="10"/>
        <color rgb="FF231F20"/>
        <rFont val="Calibri"/>
        <family val="2"/>
      </rPr>
      <t>Librarian Services</t>
    </r>
  </si>
  <si>
    <r>
      <rPr>
        <sz val="10"/>
        <color rgb="FF231F20"/>
        <rFont val="Calibri"/>
        <family val="2"/>
      </rPr>
      <t>Lighting Consultant Services</t>
    </r>
  </si>
  <si>
    <r>
      <rPr>
        <sz val="10"/>
        <color rgb="FF231F20"/>
        <rFont val="Calibri"/>
        <family val="2"/>
      </rPr>
      <t>Lobbyist Services</t>
    </r>
  </si>
  <si>
    <r>
      <rPr>
        <sz val="10"/>
        <color rgb="FF231F20"/>
        <rFont val="Calibri"/>
        <family val="2"/>
      </rPr>
      <t>Lyricist Services</t>
    </r>
  </si>
  <si>
    <r>
      <rPr>
        <sz val="10"/>
        <color rgb="FF231F20"/>
        <rFont val="Calibri"/>
        <family val="2"/>
      </rPr>
      <t>Mailing Services</t>
    </r>
  </si>
  <si>
    <r>
      <rPr>
        <sz val="10"/>
        <color rgb="FF231F20"/>
        <rFont val="Calibri"/>
        <family val="2"/>
      </rPr>
      <t>Mailing Services / Printing Services</t>
    </r>
  </si>
  <si>
    <r>
      <rPr>
        <sz val="10"/>
        <color rgb="FF231F20"/>
        <rFont val="Calibri"/>
        <family val="2"/>
      </rPr>
      <t>Management Consultant Services</t>
    </r>
  </si>
  <si>
    <r>
      <rPr>
        <sz val="10"/>
        <color rgb="FF231F20"/>
        <rFont val="Calibri"/>
        <family val="2"/>
      </rPr>
      <t>Manicurist Services / Pedicurist Services</t>
    </r>
  </si>
  <si>
    <r>
      <rPr>
        <sz val="10"/>
        <color rgb="FF231F20"/>
        <rFont val="Calibri"/>
        <family val="2"/>
      </rPr>
      <t>Marketing Consultant Services</t>
    </r>
  </si>
  <si>
    <r>
      <rPr>
        <sz val="10"/>
        <color rgb="FF231F20"/>
        <rFont val="Calibri"/>
        <family val="2"/>
      </rPr>
      <t>Martial Arts Instructor</t>
    </r>
  </si>
  <si>
    <r>
      <rPr>
        <sz val="10"/>
        <color rgb="FF231F20"/>
        <rFont val="Calibri"/>
        <family val="2"/>
      </rPr>
      <t>Medical Billing Services</t>
    </r>
  </si>
  <si>
    <r>
      <rPr>
        <sz val="10"/>
        <color rgb="FF231F20"/>
        <rFont val="Calibri"/>
        <family val="2"/>
      </rPr>
      <t>Medical Transcriptionist Services</t>
    </r>
  </si>
  <si>
    <r>
      <rPr>
        <sz val="10"/>
        <color rgb="FF231F20"/>
        <rFont val="Calibri"/>
        <family val="2"/>
      </rPr>
      <t>Mortgage Field Inspection Services</t>
    </r>
  </si>
  <si>
    <r>
      <rPr>
        <sz val="10"/>
        <color rgb="FF231F20"/>
        <rFont val="Calibri"/>
        <family val="2"/>
      </rPr>
      <t>Musical Instrument Repair Services</t>
    </r>
  </si>
  <si>
    <r>
      <rPr>
        <sz val="10"/>
        <color rgb="FF231F20"/>
        <rFont val="Calibri"/>
        <family val="2"/>
      </rPr>
      <t>Notary Services</t>
    </r>
  </si>
  <si>
    <r>
      <rPr>
        <sz val="10"/>
        <color rgb="FF231F20"/>
        <rFont val="Calibri"/>
        <family val="2"/>
      </rPr>
      <t>Opinion Polling Services</t>
    </r>
  </si>
  <si>
    <r>
      <rPr>
        <sz val="10"/>
        <color rgb="FF231F20"/>
        <rFont val="Calibri"/>
        <family val="2"/>
      </rPr>
      <t>Paralegal Services</t>
    </r>
  </si>
  <si>
    <r>
      <rPr>
        <sz val="10"/>
        <color rgb="FF231F20"/>
        <rFont val="Calibri"/>
        <family val="2"/>
      </rPr>
      <t>Personal Trainer Services</t>
    </r>
  </si>
  <si>
    <r>
      <rPr>
        <sz val="10"/>
        <color rgb="FF231F20"/>
        <rFont val="Calibri"/>
        <family val="2"/>
      </rPr>
      <t>Pet Services</t>
    </r>
  </si>
  <si>
    <r>
      <rPr>
        <sz val="10"/>
        <color rgb="FF231F20"/>
        <rFont val="Calibri"/>
        <family val="2"/>
      </rPr>
      <t>Photographer Services</t>
    </r>
  </si>
  <si>
    <r>
      <rPr>
        <sz val="10"/>
        <color rgb="FF231F20"/>
        <rFont val="Calibri"/>
        <family val="2"/>
      </rPr>
      <t>Photographer Services / Videographer Services</t>
    </r>
  </si>
  <si>
    <r>
      <rPr>
        <sz val="10"/>
        <color rgb="FF231F20"/>
        <rFont val="Calibri"/>
        <family val="2"/>
      </rPr>
      <t>Printing Services / Copying Services</t>
    </r>
  </si>
  <si>
    <r>
      <rPr>
        <sz val="10"/>
        <color rgb="FF231F20"/>
        <rFont val="Calibri"/>
        <family val="2"/>
      </rPr>
      <t>Private Investigator Services</t>
    </r>
  </si>
  <si>
    <r>
      <rPr>
        <sz val="10"/>
        <color rgb="FF231F20"/>
        <rFont val="Calibri"/>
        <family val="2"/>
      </rPr>
      <t>Process Server Services</t>
    </r>
  </si>
  <si>
    <r>
      <rPr>
        <sz val="10"/>
        <color rgb="FF231F20"/>
        <rFont val="Calibri"/>
        <family val="2"/>
      </rPr>
      <t>Professional Organizer Services</t>
    </r>
  </si>
  <si>
    <r>
      <rPr>
        <sz val="10"/>
        <color rgb="FF231F20"/>
        <rFont val="Calibri"/>
        <family val="2"/>
      </rPr>
      <t>Proof Reading Services</t>
    </r>
  </si>
  <si>
    <r>
      <rPr>
        <sz val="10"/>
        <color rgb="FF231F20"/>
        <rFont val="Calibri"/>
        <family val="2"/>
      </rPr>
      <t>Property Manager Services</t>
    </r>
  </si>
  <si>
    <r>
      <rPr>
        <sz val="10"/>
        <color rgb="FF231F20"/>
        <rFont val="Calibri"/>
        <family val="2"/>
      </rPr>
      <t>Property Preservation Services</t>
    </r>
  </si>
  <si>
    <r>
      <rPr>
        <sz val="10"/>
        <color rgb="FF231F20"/>
        <rFont val="Calibri"/>
        <family val="2"/>
      </rPr>
      <t>Public Relations Consultant Services</t>
    </r>
  </si>
  <si>
    <r>
      <rPr>
        <sz val="10"/>
        <color rgb="FF231F20"/>
        <rFont val="Calibri"/>
        <family val="2"/>
      </rPr>
      <t>Real Estate Appraisal Services</t>
    </r>
  </si>
  <si>
    <r>
      <rPr>
        <sz val="10"/>
        <color rgb="FF231F20"/>
        <rFont val="Calibri"/>
        <family val="2"/>
      </rPr>
      <t>Real-Time Captioning Services</t>
    </r>
  </si>
  <si>
    <r>
      <rPr>
        <sz val="10"/>
        <color rgb="FF231F20"/>
        <rFont val="Calibri"/>
        <family val="2"/>
      </rPr>
      <t>Recording Studio Services</t>
    </r>
  </si>
  <si>
    <r>
      <rPr>
        <sz val="10"/>
        <color rgb="FF231F20"/>
        <rFont val="Calibri"/>
        <family val="2"/>
      </rPr>
      <t>Referral Services</t>
    </r>
  </si>
  <si>
    <r>
      <rPr>
        <sz val="10"/>
        <color rgb="FF231F20"/>
        <rFont val="Calibri"/>
        <family val="2"/>
      </rPr>
      <t>Registered Agent Services</t>
    </r>
  </si>
  <si>
    <r>
      <rPr>
        <sz val="10"/>
        <color rgb="FF231F20"/>
        <rFont val="Calibri"/>
        <family val="2"/>
      </rPr>
      <t>Relocation Services</t>
    </r>
  </si>
  <si>
    <r>
      <rPr>
        <sz val="10"/>
        <color rgb="FF231F20"/>
        <rFont val="Calibri"/>
        <family val="2"/>
      </rPr>
      <t>Reserve Study Consultant Services</t>
    </r>
  </si>
  <si>
    <r>
      <rPr>
        <sz val="10"/>
        <color rgb="FF231F20"/>
        <rFont val="Calibri"/>
        <family val="2"/>
      </rPr>
      <t>Resume Writing Services</t>
    </r>
  </si>
  <si>
    <r>
      <rPr>
        <sz val="10"/>
        <color rgb="FF231F20"/>
        <rFont val="Calibri"/>
        <family val="2"/>
      </rPr>
      <t>Safety / Loss Control Consultant Services</t>
    </r>
  </si>
  <si>
    <r>
      <rPr>
        <sz val="10"/>
        <color rgb="FF231F20"/>
        <rFont val="Calibri"/>
        <family val="2"/>
      </rPr>
      <t>Social Security Claims Representative Services / Worker Compensation Claims Representative Services</t>
    </r>
  </si>
  <si>
    <r>
      <rPr>
        <sz val="10"/>
        <color rgb="FF231F20"/>
        <rFont val="Calibri"/>
        <family val="2"/>
      </rPr>
      <t>Speech Therapist Services</t>
    </r>
  </si>
  <si>
    <r>
      <rPr>
        <sz val="10"/>
        <color rgb="FF231F20"/>
        <rFont val="Calibri"/>
        <family val="2"/>
      </rPr>
      <t>Staffing Recruiter Services</t>
    </r>
  </si>
  <si>
    <r>
      <rPr>
        <sz val="10"/>
        <color rgb="FF231F20"/>
        <rFont val="Calibri"/>
        <family val="2"/>
      </rPr>
      <t>Statistical Consultant Services</t>
    </r>
  </si>
  <si>
    <r>
      <rPr>
        <sz val="10"/>
        <color rgb="FF231F20"/>
        <rFont val="Calibri"/>
        <family val="2"/>
      </rPr>
      <t>Subrogation Consultant Services</t>
    </r>
  </si>
  <si>
    <r>
      <rPr>
        <sz val="10"/>
        <color rgb="FF231F20"/>
        <rFont val="Calibri"/>
        <family val="2"/>
      </rPr>
      <t>Tailoring Services</t>
    </r>
  </si>
  <si>
    <r>
      <rPr>
        <sz val="10"/>
        <color rgb="FF231F20"/>
        <rFont val="Calibri"/>
        <family val="2"/>
      </rPr>
      <t>Talent Agent Services</t>
    </r>
  </si>
  <si>
    <r>
      <rPr>
        <sz val="10"/>
        <color rgb="FF231F20"/>
        <rFont val="Calibri"/>
        <family val="2"/>
      </rPr>
      <t>Teacher / Tutor Services</t>
    </r>
  </si>
  <si>
    <r>
      <rPr>
        <sz val="10"/>
        <color rgb="FF231F20"/>
        <rFont val="Calibri"/>
        <family val="2"/>
      </rPr>
      <t>Technical Writer Services</t>
    </r>
  </si>
  <si>
    <r>
      <rPr>
        <sz val="10"/>
        <color rgb="FF231F20"/>
        <rFont val="Calibri"/>
        <family val="2"/>
      </rPr>
      <t>Telecom Consultant Services</t>
    </r>
  </si>
  <si>
    <r>
      <rPr>
        <sz val="10"/>
        <color rgb="FF231F20"/>
        <rFont val="Calibri"/>
        <family val="2"/>
      </rPr>
      <t>Telemarketing Services</t>
    </r>
  </si>
  <si>
    <r>
      <rPr>
        <sz val="10"/>
        <color rgb="FF231F20"/>
        <rFont val="Calibri"/>
        <family val="2"/>
      </rPr>
      <t>Testing Services (Non-Medical)</t>
    </r>
  </si>
  <si>
    <r>
      <rPr>
        <sz val="10"/>
        <color rgb="FF231F20"/>
        <rFont val="Calibri"/>
        <family val="2"/>
      </rPr>
      <t>Ticket Broker Services</t>
    </r>
  </si>
  <si>
    <r>
      <rPr>
        <sz val="10"/>
        <color rgb="FF231F20"/>
        <rFont val="Calibri"/>
        <family val="2"/>
      </rPr>
      <t>Traffic / Parking Consultant Services</t>
    </r>
  </si>
  <si>
    <r>
      <rPr>
        <sz val="10"/>
        <color rgb="FF231F20"/>
        <rFont val="Calibri"/>
        <family val="2"/>
      </rPr>
      <t>Transcriber Services (Non-Medical)</t>
    </r>
  </si>
  <si>
    <r>
      <rPr>
        <sz val="10"/>
        <color rgb="FF231F20"/>
        <rFont val="Calibri"/>
        <family val="2"/>
      </rPr>
      <t>Translator Services / Interpreter Services</t>
    </r>
  </si>
  <si>
    <r>
      <rPr>
        <sz val="10"/>
        <color rgb="FF231F20"/>
        <rFont val="Calibri"/>
        <family val="2"/>
      </rPr>
      <t>Travel Agent Services / Tour Operator Services</t>
    </r>
  </si>
  <si>
    <r>
      <rPr>
        <sz val="10"/>
        <color rgb="FF231F20"/>
        <rFont val="Calibri"/>
        <family val="2"/>
      </rPr>
      <t>Typing Services (Non-Medical)</t>
    </r>
  </si>
  <si>
    <t>AK</t>
  </si>
  <si>
    <t>AZ</t>
  </si>
  <si>
    <t>AR</t>
  </si>
  <si>
    <t>CA</t>
  </si>
  <si>
    <t>CO</t>
  </si>
  <si>
    <t>DC</t>
  </si>
  <si>
    <t>HI</t>
  </si>
  <si>
    <t>ID</t>
  </si>
  <si>
    <t>IL</t>
  </si>
  <si>
    <t>IN</t>
  </si>
  <si>
    <t>IA</t>
  </si>
  <si>
    <t>KS</t>
  </si>
  <si>
    <t>KY</t>
  </si>
  <si>
    <t>ME</t>
  </si>
  <si>
    <t>MI</t>
  </si>
  <si>
    <t>MN</t>
  </si>
  <si>
    <t>MO</t>
  </si>
  <si>
    <t>MT</t>
  </si>
  <si>
    <t>NE</t>
  </si>
  <si>
    <t>NV</t>
  </si>
  <si>
    <t>NH</t>
  </si>
  <si>
    <t>NM</t>
  </si>
  <si>
    <t>ND</t>
  </si>
  <si>
    <t>OH</t>
  </si>
  <si>
    <t>OK</t>
  </si>
  <si>
    <t>PA</t>
  </si>
  <si>
    <t>SD</t>
  </si>
  <si>
    <t>TN</t>
  </si>
  <si>
    <t>UT</t>
  </si>
  <si>
    <t>VT</t>
  </si>
  <si>
    <t>WA</t>
  </si>
  <si>
    <t>WV</t>
  </si>
  <si>
    <t>WI</t>
  </si>
  <si>
    <t>WY</t>
  </si>
  <si>
    <t>AL</t>
  </si>
  <si>
    <t>FL</t>
  </si>
  <si>
    <t>DE</t>
  </si>
  <si>
    <t>CT</t>
  </si>
  <si>
    <t>GA</t>
  </si>
  <si>
    <t>LA</t>
  </si>
  <si>
    <t xml:space="preserve">MD </t>
  </si>
  <si>
    <t>MA</t>
  </si>
  <si>
    <t>MS</t>
  </si>
  <si>
    <t xml:space="preserve">NJ </t>
  </si>
  <si>
    <t>NY</t>
  </si>
  <si>
    <t xml:space="preserve">NC </t>
  </si>
  <si>
    <t xml:space="preserve">RI </t>
  </si>
  <si>
    <t>SC</t>
  </si>
  <si>
    <t>TX</t>
  </si>
  <si>
    <t>VA</t>
  </si>
  <si>
    <t>Class Description</t>
  </si>
  <si>
    <t>Carrier Multiple</t>
  </si>
  <si>
    <t>Animal Training Services</t>
  </si>
  <si>
    <t>INSURED:</t>
  </si>
  <si>
    <t xml:space="preserve"> </t>
  </si>
  <si>
    <t>We are pleased to offer the following indication which should be reviewed carefully. This is not a binder of insurance. The following information is a proposal and is to be presented without alteration.</t>
  </si>
  <si>
    <t>COVERAGE:</t>
  </si>
  <si>
    <t>Schedule reporting of individual Real Estate Owned/REI locations. Coverage applies to location as reported by the insured on the attached application.</t>
  </si>
  <si>
    <t>EXCLUSIONS:</t>
  </si>
  <si>
    <t>REFER TO POLICY FOR ALL OTHER EXCLUSIONS.</t>
  </si>
  <si>
    <t>TERM:</t>
  </si>
  <si>
    <t>12 Months from Effective date of Binder unless otherwise negotiated.</t>
  </si>
  <si>
    <t>EFFECTIVE DATE:</t>
  </si>
  <si>
    <t>AMOUNT OF INSURANCE:</t>
  </si>
  <si>
    <r>
      <t xml:space="preserve">Maximum TIV per Certificate: </t>
    </r>
    <r>
      <rPr>
        <sz val="10"/>
        <color theme="1"/>
        <rFont val="Arial Narrow"/>
        <family val="2"/>
      </rPr>
      <t>$1,500,000 per Property [Excluding Cov B]</t>
    </r>
    <r>
      <rPr>
        <b/>
        <sz val="10"/>
        <color theme="1"/>
        <rFont val="Arial Narrow"/>
        <family val="2"/>
      </rPr>
      <t xml:space="preserve"> - Commercial Property Form</t>
    </r>
  </si>
  <si>
    <r>
      <t>Maximum GL per Certificate:</t>
    </r>
    <r>
      <rPr>
        <sz val="10"/>
        <color theme="1"/>
        <rFont val="Arial Narrow"/>
        <family val="2"/>
      </rPr>
      <t xml:space="preserve"> $1,000,000 per Occurrence / $2,000,000 Aggregate - Commercial GL</t>
    </r>
  </si>
  <si>
    <t>Limits Requested:</t>
  </si>
  <si>
    <t>Coverage A:</t>
  </si>
  <si>
    <t>Coverage B:</t>
  </si>
  <si>
    <t>Coverage C:</t>
  </si>
  <si>
    <t>Coverage D:</t>
  </si>
  <si>
    <t>Coverage L:</t>
  </si>
  <si>
    <t>Coverage M:</t>
  </si>
  <si>
    <t>AOP Deductible:</t>
  </si>
  <si>
    <t>Wind Deductible:</t>
  </si>
  <si>
    <t>FLOOD</t>
  </si>
  <si>
    <t>Excluded</t>
  </si>
  <si>
    <t>QUAKE</t>
  </si>
  <si>
    <t>LOSS SETTLEMENT:</t>
  </si>
  <si>
    <t>Replacement Cost</t>
  </si>
  <si>
    <t xml:space="preserve">This policy is written on Excess and Surplus Lines Paper </t>
  </si>
  <si>
    <t>FLAT CANCELLATION IS NOT PERMITTED. PREMIUM AND TAX ARE 25% MINIMUM EARNED UPON REQUEST TO BIND. ALL FEES ARE FULLY EARNED AND NON-REFUNDABLE.</t>
  </si>
  <si>
    <t>Premium Property:</t>
  </si>
  <si>
    <t>Premium Liability:</t>
  </si>
  <si>
    <t>Surplus Lines Tax</t>
  </si>
  <si>
    <t>Stamping Fee:</t>
  </si>
  <si>
    <t>Policy Fee :</t>
  </si>
  <si>
    <t>Inspection Fee :</t>
  </si>
  <si>
    <t>Florida Service Fee:</t>
  </si>
  <si>
    <t>EMPA:</t>
  </si>
  <si>
    <t>Will Comply Fee:</t>
  </si>
  <si>
    <t xml:space="preserve">TOTAL </t>
  </si>
  <si>
    <t>Liability Exclusions:</t>
  </si>
  <si>
    <r>
      <t>·</t>
    </r>
    <r>
      <rPr>
        <sz val="7"/>
        <color theme="1"/>
        <rFont val="Times New Roman"/>
        <family val="1"/>
      </rPr>
      <t xml:space="preserve">         </t>
    </r>
    <r>
      <rPr>
        <sz val="11"/>
        <color theme="1"/>
        <rFont val="Arial Narrow"/>
        <family val="2"/>
      </rPr>
      <t>Independent Contractor Exclusion</t>
    </r>
  </si>
  <si>
    <r>
      <t>·</t>
    </r>
    <r>
      <rPr>
        <sz val="7"/>
        <color theme="1"/>
        <rFont val="Times New Roman"/>
        <family val="1"/>
      </rPr>
      <t xml:space="preserve">         </t>
    </r>
    <r>
      <rPr>
        <sz val="11"/>
        <color theme="1"/>
        <rFont val="Arial Narrow"/>
        <family val="2"/>
      </rPr>
      <t>Professional Liability Exclusion</t>
    </r>
  </si>
  <si>
    <r>
      <t>·</t>
    </r>
    <r>
      <rPr>
        <sz val="7"/>
        <color theme="1"/>
        <rFont val="Times New Roman"/>
        <family val="1"/>
      </rPr>
      <t xml:space="preserve">         </t>
    </r>
    <r>
      <rPr>
        <sz val="11"/>
        <color theme="1"/>
        <rFont val="Arial Narrow"/>
        <family val="2"/>
      </rPr>
      <t>Tenants Exclusion</t>
    </r>
  </si>
  <si>
    <r>
      <t>·</t>
    </r>
    <r>
      <rPr>
        <sz val="7"/>
        <color theme="1"/>
        <rFont val="Times New Roman"/>
        <family val="1"/>
      </rPr>
      <t xml:space="preserve">         </t>
    </r>
    <r>
      <rPr>
        <sz val="11"/>
        <color theme="1"/>
        <rFont val="Arial Narrow"/>
        <family val="2"/>
      </rPr>
      <t>Asbestos Liability Exclusion</t>
    </r>
  </si>
  <si>
    <r>
      <t>·</t>
    </r>
    <r>
      <rPr>
        <sz val="7"/>
        <color theme="1"/>
        <rFont val="Times New Roman"/>
        <family val="1"/>
      </rPr>
      <t xml:space="preserve">         </t>
    </r>
    <r>
      <rPr>
        <sz val="11"/>
        <color theme="1"/>
        <rFont val="Arial Narrow"/>
        <family val="2"/>
      </rPr>
      <t>Communicable Disease Exclusion</t>
    </r>
  </si>
  <si>
    <r>
      <t>·</t>
    </r>
    <r>
      <rPr>
        <sz val="7"/>
        <color theme="1"/>
        <rFont val="Times New Roman"/>
        <family val="1"/>
      </rPr>
      <t xml:space="preserve">         </t>
    </r>
    <r>
      <rPr>
        <sz val="11"/>
        <color theme="1"/>
        <rFont val="Arial Narrow"/>
        <family val="2"/>
      </rPr>
      <t>Employment Related Practices Exclusion</t>
    </r>
  </si>
  <si>
    <r>
      <t>·</t>
    </r>
    <r>
      <rPr>
        <sz val="7"/>
        <color theme="1"/>
        <rFont val="Times New Roman"/>
        <family val="1"/>
      </rPr>
      <t xml:space="preserve">         </t>
    </r>
    <r>
      <rPr>
        <sz val="11"/>
        <color theme="1"/>
        <rFont val="Arial Narrow"/>
        <family val="2"/>
      </rPr>
      <t>Financial Endeavors Exclusion</t>
    </r>
  </si>
  <si>
    <r>
      <t>·</t>
    </r>
    <r>
      <rPr>
        <sz val="7"/>
        <color theme="1"/>
        <rFont val="Times New Roman"/>
        <family val="1"/>
      </rPr>
      <t xml:space="preserve">         </t>
    </r>
    <r>
      <rPr>
        <sz val="11"/>
        <color theme="1"/>
        <rFont val="Arial Narrow"/>
        <family val="2"/>
      </rPr>
      <t>Insured Premises and Operations Endorsement</t>
    </r>
  </si>
  <si>
    <r>
      <t>·</t>
    </r>
    <r>
      <rPr>
        <sz val="7"/>
        <color theme="1"/>
        <rFont val="Times New Roman"/>
        <family val="1"/>
      </rPr>
      <t xml:space="preserve">         </t>
    </r>
    <r>
      <rPr>
        <sz val="11"/>
        <color theme="1"/>
        <rFont val="Arial Narrow"/>
        <family val="2"/>
      </rPr>
      <t>Lead-Hazardous Properties Exclusion</t>
    </r>
  </si>
  <si>
    <r>
      <t>·</t>
    </r>
    <r>
      <rPr>
        <sz val="7"/>
        <color theme="1"/>
        <rFont val="Times New Roman"/>
        <family val="1"/>
      </rPr>
      <t xml:space="preserve">         </t>
    </r>
    <r>
      <rPr>
        <sz val="11"/>
        <color theme="1"/>
        <rFont val="Arial Narrow"/>
        <family val="2"/>
      </rPr>
      <t>Nuclear Energy Liability Exclusion</t>
    </r>
  </si>
  <si>
    <r>
      <t>·</t>
    </r>
    <r>
      <rPr>
        <sz val="7"/>
        <color theme="1"/>
        <rFont val="Times New Roman"/>
        <family val="1"/>
      </rPr>
      <t xml:space="preserve">         </t>
    </r>
    <r>
      <rPr>
        <sz val="11"/>
        <color theme="1"/>
        <rFont val="Arial Narrow"/>
        <family val="2"/>
      </rPr>
      <t>Products Completed Operations Exclusion (add .01 for coverage)</t>
    </r>
  </si>
  <si>
    <r>
      <t>·</t>
    </r>
    <r>
      <rPr>
        <sz val="7"/>
        <color theme="1"/>
        <rFont val="Times New Roman"/>
        <family val="1"/>
      </rPr>
      <t xml:space="preserve">         </t>
    </r>
    <r>
      <rPr>
        <sz val="11"/>
        <color theme="1"/>
        <rFont val="Arial Narrow"/>
        <family val="2"/>
      </rPr>
      <t>Punitive Damages Exclusion</t>
    </r>
  </si>
  <si>
    <r>
      <t>·</t>
    </r>
    <r>
      <rPr>
        <sz val="7"/>
        <color theme="1"/>
        <rFont val="Times New Roman"/>
        <family val="1"/>
      </rPr>
      <t>        </t>
    </r>
    <r>
      <rPr>
        <sz val="11"/>
        <color theme="1"/>
        <rFont val="Arial Narrow"/>
        <family val="2"/>
      </rPr>
      <t xml:space="preserve"> Animal, Reptile, &amp; Insect Excl 5K Dog Bite Ends</t>
    </r>
  </si>
  <si>
    <r>
      <t>·</t>
    </r>
    <r>
      <rPr>
        <sz val="7"/>
        <color theme="1"/>
        <rFont val="Times New Roman"/>
        <family val="1"/>
      </rPr>
      <t xml:space="preserve">         </t>
    </r>
    <r>
      <rPr>
        <sz val="11"/>
        <color theme="1"/>
        <rFont val="Arial Narrow"/>
        <family val="2"/>
      </rPr>
      <t>Swimming Pool &amp; Hot Tub Excl Ends</t>
    </r>
  </si>
  <si>
    <r>
      <t>·</t>
    </r>
    <r>
      <rPr>
        <sz val="7"/>
        <color theme="1"/>
        <rFont val="Times New Roman"/>
        <family val="1"/>
      </rPr>
      <t xml:space="preserve">         </t>
    </r>
    <r>
      <rPr>
        <sz val="11"/>
        <color theme="1"/>
        <rFont val="Arial Narrow"/>
        <family val="2"/>
      </rPr>
      <t>Trampoline Excl</t>
    </r>
  </si>
  <si>
    <r>
      <t>·</t>
    </r>
    <r>
      <rPr>
        <sz val="7"/>
        <color theme="1"/>
        <rFont val="Times New Roman"/>
        <family val="1"/>
      </rPr>
      <t>       </t>
    </r>
    <r>
      <rPr>
        <sz val="11"/>
        <color theme="1"/>
        <rFont val="Arial Narrow"/>
        <family val="2"/>
      </rPr>
      <t>Firearm Liability Excl</t>
    </r>
  </si>
  <si>
    <r>
      <t>·</t>
    </r>
    <r>
      <rPr>
        <sz val="7"/>
        <color theme="1"/>
        <rFont val="Times New Roman"/>
        <family val="1"/>
      </rPr>
      <t xml:space="preserve">         </t>
    </r>
    <r>
      <rPr>
        <sz val="11"/>
        <color theme="1"/>
        <rFont val="Arial Narrow"/>
        <family val="2"/>
      </rPr>
      <t>Personal &amp; Advertising Injury Excl Ends</t>
    </r>
  </si>
  <si>
    <t>Information Needed to Bind Coverage:</t>
  </si>
  <si>
    <t>Signed and Dated Request to Bind and Application</t>
  </si>
  <si>
    <r>
      <rPr>
        <b/>
        <sz val="11"/>
        <color rgb="FFFF0000"/>
        <rFont val="Calibri"/>
        <family val="2"/>
        <scheme val="minor"/>
      </rPr>
      <t>Requested Effective Date:</t>
    </r>
    <r>
      <rPr>
        <b/>
        <sz val="11"/>
        <color theme="1"/>
        <rFont val="Calibri"/>
        <family val="2"/>
        <scheme val="minor"/>
      </rPr>
      <t>__________________________</t>
    </r>
  </si>
  <si>
    <t>Signed No Loss Letter or Clue Report (if losses exist)</t>
  </si>
  <si>
    <t>Signed Due Diligence from State</t>
  </si>
  <si>
    <t>Signed Fraud Notice</t>
  </si>
  <si>
    <t>Payment will be done once invoice is provided</t>
  </si>
  <si>
    <r>
      <t>Satisfactory Inspection Required within 30 Days of the Effective Date completed by a self-guided web application. _______</t>
    </r>
    <r>
      <rPr>
        <b/>
        <sz val="11"/>
        <color rgb="FFFF0000"/>
        <rFont val="Calibri"/>
        <family val="2"/>
        <scheme val="minor"/>
      </rPr>
      <t xml:space="preserve"> Insured's Initials</t>
    </r>
  </si>
  <si>
    <r>
      <t xml:space="preserve">Confirm No fuses, knob and tube, or cloth wiring, </t>
    </r>
    <r>
      <rPr>
        <b/>
        <sz val="11"/>
        <color rgb="FFFF0000"/>
        <rFont val="Calibri"/>
        <family val="2"/>
        <scheme val="minor"/>
      </rPr>
      <t>Zinsco/Sylvania, Federal Pacific, Stab-Lok, Challenger, Bulldog/Pushmatic or electric panel, circuit breaker</t>
    </r>
    <r>
      <rPr>
        <sz val="11"/>
        <color rgb="FFFF0000"/>
        <rFont val="Calibri"/>
        <family val="2"/>
        <scheme val="minor"/>
      </rPr>
      <t xml:space="preserve">s </t>
    </r>
    <r>
      <rPr>
        <sz val="11"/>
        <color theme="1"/>
        <rFont val="Calibri"/>
        <family val="2"/>
        <scheme val="minor"/>
      </rPr>
      <t>or any other electrical panel that is consider a fire hazard. ______________</t>
    </r>
    <r>
      <rPr>
        <b/>
        <sz val="11"/>
        <color theme="1"/>
        <rFont val="Calibri"/>
        <family val="2"/>
        <scheme val="minor"/>
      </rPr>
      <t xml:space="preserve"> </t>
    </r>
    <r>
      <rPr>
        <b/>
        <sz val="11"/>
        <color rgb="FFFF0000"/>
        <rFont val="Calibri"/>
        <family val="2"/>
        <scheme val="minor"/>
      </rPr>
      <t xml:space="preserve"> Insured's Initials</t>
    </r>
  </si>
  <si>
    <r>
      <t>Please confirm that dwelling is not "Primary Occupied" by the named insured at any 
point in the year_______</t>
    </r>
    <r>
      <rPr>
        <sz val="11"/>
        <color rgb="FFFF0000"/>
        <rFont val="Calibri"/>
        <family val="2"/>
        <scheme val="minor"/>
      </rPr>
      <t xml:space="preserve"> </t>
    </r>
    <r>
      <rPr>
        <b/>
        <sz val="11"/>
        <color rgb="FFFF0000"/>
        <rFont val="Calibri"/>
        <family val="2"/>
        <scheme val="minor"/>
      </rPr>
      <t>Insured’s Initials</t>
    </r>
  </si>
  <si>
    <t>Confirm/Provide the insured's mailing address ___________________________</t>
  </si>
  <si>
    <t>**If ANY type of electronic signature or stamp is used on any forms, the e-signature certificate must be sent in with the completed application. Please note that effective dates cannot be backdated.**</t>
  </si>
  <si>
    <t>Section III: General Policy Terms and Conditions</t>
  </si>
  <si>
    <t xml:space="preserve"> Higher limits may require additional risk information. Starstone's reinsurers generally require, to the extent available, the following elements: number of buildings, stories, square footage, construction, occupancy and usage. The Agent will assist you in developing a manageable reporting process. Subject to agreement by the Insurer, higher limits available upon request.</t>
  </si>
  <si>
    <t xml:space="preserve"> Residential means one to four family dwellings, five-plex, six-plex, individual condominium rented to others or cooperative apartment units. All other property, including multi-family residential shall be considered Commercial property.</t>
  </si>
  <si>
    <t>Properties which have been declared unfit for use or service or have had an order of demolition issued by a court of competent jurisdiction, or condemned properties are not eligible for subsequent coverage.</t>
  </si>
  <si>
    <t>The territory of coverage will only consist of the 50 states of United States unless otherwise agreed by the Insurer.</t>
  </si>
  <si>
    <t>This summary may not be reflective of all terms and conditions of the Insurer’s policy. Refer to the policy for actual terms and conditions.</t>
  </si>
  <si>
    <t>Insured's Name</t>
  </si>
  <si>
    <t>Title</t>
  </si>
  <si>
    <t>Insured's Signature</t>
  </si>
  <si>
    <t>Date</t>
  </si>
  <si>
    <t>APPLICATION</t>
  </si>
  <si>
    <t>Customer Name:</t>
  </si>
  <si>
    <t>Location Address:</t>
  </si>
  <si>
    <t>Location City:</t>
  </si>
  <si>
    <t>Location County:</t>
  </si>
  <si>
    <t>Location State:</t>
  </si>
  <si>
    <t>Location Zip:</t>
  </si>
  <si>
    <t>Policy Form:</t>
  </si>
  <si>
    <t>Manuscript Form</t>
  </si>
  <si>
    <t>Loss Settlement:</t>
  </si>
  <si>
    <t>Occupancy:</t>
  </si>
  <si>
    <t>Total TIV:</t>
  </si>
  <si>
    <t>Liability Limits:</t>
  </si>
  <si>
    <t>Medical:</t>
  </si>
  <si>
    <t>KICKOUT OR IMPACT QUESTIONS</t>
  </si>
  <si>
    <t>Is The property’s electric system on a circuit breaker?- A No is a Decline</t>
  </si>
  <si>
    <t>Is there Section 8 or Student Housing?  (A yes is a decline)</t>
  </si>
  <si>
    <t>Is this a Mobile or Manufactured Home? (A Yes is a Decline)</t>
  </si>
  <si>
    <t>Is this property a Long Term Rental (or in CA Long Term Rental, Vacation Home, Secondary Home)? [All Short Term Rentals require a separate liability policy)</t>
  </si>
  <si>
    <t>Is this a Fix and Flip (rehab)</t>
  </si>
  <si>
    <t>Year Home Built:</t>
  </si>
  <si>
    <t>Type of Roof:</t>
  </si>
  <si>
    <t>Year Roof Updated:</t>
  </si>
  <si>
    <t>Construction:</t>
  </si>
  <si>
    <t>Year Electrical Updated:</t>
  </si>
  <si>
    <t>Year HVAC Updated:</t>
  </si>
  <si>
    <t>Year Plumbing Updated:</t>
  </si>
  <si>
    <t>DEDUCTIBLE (AOP):</t>
  </si>
  <si>
    <t>WIND DEDUCTIBLE:</t>
  </si>
  <si>
    <t>MORTGAGE INFO</t>
  </si>
  <si>
    <t>Is there a Mortgage:</t>
  </si>
  <si>
    <t>Name of First Mortgage Company:</t>
  </si>
  <si>
    <t>Address:</t>
  </si>
  <si>
    <t>City:</t>
  </si>
  <si>
    <t>State:</t>
  </si>
  <si>
    <t>Zip:</t>
  </si>
  <si>
    <t>Loan Number:</t>
  </si>
  <si>
    <t>PROPERTY MANAGER</t>
  </si>
  <si>
    <t>Is there a Property Manager:</t>
  </si>
  <si>
    <t>Name of Property Manager:</t>
  </si>
  <si>
    <t>____________________________________________________________________</t>
  </si>
  <si>
    <t>Insured's Signature &amp; Date</t>
  </si>
  <si>
    <t>Agent's Signature &amp; Date</t>
  </si>
  <si>
    <t>No Loss Letter</t>
  </si>
  <si>
    <t>During the last   ______Three (3)    INITIAL ONE UNLESS THERE HAVE BEEN CLAIMS!</t>
  </si>
  <si>
    <t xml:space="preserve">               _____ Five (5)</t>
  </si>
  <si>
    <t xml:space="preserve">years we warrant that with respect to the Rental Dwelling Insurance being applied for: </t>
  </si>
  <si>
    <t xml:space="preserve">              (INITIAL ONE UNLESS THERE HAVE BEEN CLAIMS)</t>
  </si>
  <si>
    <t>[ATTACH CLUE REPORT IF THERE HAVE BEEN CLAIMS]</t>
  </si>
  <si>
    <r>
      <t>·</t>
    </r>
    <r>
      <rPr>
        <sz val="7"/>
        <color theme="1"/>
        <rFont val="Times New Roman"/>
        <family val="1"/>
      </rPr>
      <t xml:space="preserve">    </t>
    </r>
    <r>
      <rPr>
        <sz val="11"/>
        <color theme="1"/>
        <rFont val="Arial"/>
        <family val="2"/>
      </rPr>
      <t>I/ we have not sustained a loss</t>
    </r>
  </si>
  <si>
    <r>
      <t>·</t>
    </r>
    <r>
      <rPr>
        <sz val="7"/>
        <color theme="1"/>
        <rFont val="Times New Roman"/>
        <family val="1"/>
      </rPr>
      <t xml:space="preserve">    </t>
    </r>
    <r>
      <rPr>
        <sz val="11"/>
        <color theme="1"/>
        <rFont val="Arial"/>
        <family val="2"/>
      </rPr>
      <t>Have not had a claim made against us</t>
    </r>
  </si>
  <si>
    <r>
      <t>·</t>
    </r>
    <r>
      <rPr>
        <sz val="7"/>
        <color theme="1"/>
        <rFont val="Times New Roman"/>
        <family val="1"/>
      </rPr>
      <t xml:space="preserve">    </t>
    </r>
    <r>
      <rPr>
        <sz val="11"/>
        <color theme="1"/>
        <rFont val="Arial"/>
        <family val="2"/>
      </rPr>
      <t>Have not been denied coverage for misrepresentation of facts or Insurance Fraud</t>
    </r>
  </si>
  <si>
    <r>
      <t>·</t>
    </r>
    <r>
      <rPr>
        <sz val="7"/>
        <color theme="1"/>
        <rFont val="Times New Roman"/>
        <family val="1"/>
      </rPr>
      <t xml:space="preserve">    </t>
    </r>
    <r>
      <rPr>
        <sz val="11"/>
        <color theme="1"/>
        <rFont val="Arial"/>
        <family val="2"/>
      </rPr>
      <t>Have no knowledge or a reason to anticipate a claims or loss.</t>
    </r>
  </si>
  <si>
    <t>If I have owned the home for less than five (5) years, the above warranty applies to my current dwelling and any prior residence up to the three-year period.</t>
  </si>
  <si>
    <t>___________________________________________________________________________</t>
  </si>
  <si>
    <t xml:space="preserve">   Printed name of person Signing or Trust/LLC Name</t>
  </si>
  <si>
    <t>____________________________________________________________________________________________</t>
  </si>
  <si>
    <t xml:space="preserve">      Signature of Named Insured, Home Owner or LLC/Trust Manager</t>
  </si>
  <si>
    <t>Warranty: The purpose of this no loss letter is to assist in the underwriting process information contained herein is specifically relied upon in determination of insurability. The undersigned, therefore, warrants that the information contained herein is true and accurate to the best of his/her knowledge, information and belief. This no loss letter shall be the basis of any insurance that may be issued and will be a part of such policy. It is understood that any misrepresentation or omission shall constitute grounds for immediate cancellation of coverage and denial of claims, if any. It is further understood that the applicant and or affiliated company is under a continuing obligation to immediately notify his/her underwriter through his/her broker of any material alteration of the information given</t>
  </si>
  <si>
    <t>FRAUD NOTICE</t>
  </si>
  <si>
    <r>
      <t>To All Prospective Insureds:</t>
    </r>
    <r>
      <rPr>
        <sz val="10"/>
        <color theme="1"/>
        <rFont val="Arial"/>
        <family val="2"/>
      </rPr>
      <t xml:space="preserve"> Any person who knowingly, and with intent to defraud any insurance company or other person, files an application for insurance or statement of claim containing any materially false information, or, for the purpose of misleading, conceals information concerning any fact material thereto, may commit a fraudulent insurance act which is a crime and subjects such person to criminal and civil penalties in many states.</t>
    </r>
  </si>
  <si>
    <t>To Prospective Insureds In:</t>
  </si>
  <si>
    <r>
      <t xml:space="preserve">Notice to Colorado Applicants: </t>
    </r>
    <r>
      <rPr>
        <sz val="10"/>
        <color theme="1"/>
        <rFont val="Arial"/>
        <family val="2"/>
      </rPr>
      <t>It is unlawful to knowingly provide false, incomplete or misleading facts or information to an insurance company for the purpose of defrauding or attempting to defraud the company.</t>
    </r>
  </si>
  <si>
    <r>
      <t>Notice to District of Columbia and Louisiana Applicants</t>
    </r>
    <r>
      <rPr>
        <sz val="10"/>
        <color theme="1"/>
        <rFont val="Arial"/>
        <family val="2"/>
      </rPr>
      <t>: “Any person who knowingly presents a false or fraudulent claim for payment of a loss or benefit or knowingly presents false information in an application for insurance is guilty of a crime and may be subject to fines and confinement in prison.”</t>
    </r>
  </si>
  <si>
    <r>
      <t>Notice to Florida Applicants</t>
    </r>
    <r>
      <rPr>
        <sz val="10"/>
        <color theme="1"/>
        <rFont val="Arial"/>
        <family val="2"/>
      </rPr>
      <t>: Any person who knowingly and with intent to injure, defraud, or deceive any insurer files a statement of claim or an application containing any false, incomplete, or misleading information is guilty of a felony of the third degree.</t>
    </r>
  </si>
  <si>
    <r>
      <t xml:space="preserve">Notice to Oklahoma Applicants: </t>
    </r>
    <r>
      <rPr>
        <sz val="10"/>
        <color theme="1"/>
        <rFont val="Arial"/>
        <family val="2"/>
      </rPr>
      <t>Any person who knowingly, and with intent to injure, defraud or deceive any insurer, files a statement of claim containing any false, incomplete or misleading information is guilty of a felony.</t>
    </r>
  </si>
  <si>
    <r>
      <t>Notice to Kansas Applicants</t>
    </r>
    <r>
      <rPr>
        <sz val="10"/>
        <color theme="1"/>
        <rFont val="Arial"/>
        <family val="2"/>
      </rPr>
      <t>: An act committed by any person who, knowingly and with intent to defraud, presents, causes to be presented or prepares with knowledge or belief that it will be presented to or by an insurer, purported insurer, broker or any agent thereof, any written statement as part of, or in support of, an application for the issuance of, or the rating of an insurance policy for personal or commercial insurance, or a claim for payment or other benefit pursuant to an insurance policy for commercial or personal insurance which such person knows to contain materially false information concerning any fact material thereto; or conceals, for the purpose of misleading, information concerning any fact material thereto.</t>
    </r>
  </si>
  <si>
    <r>
      <t xml:space="preserve">Notice to Maine, Tennessee, Virginia and Washington Applications: </t>
    </r>
    <r>
      <rPr>
        <sz val="10"/>
        <color theme="1"/>
        <rFont val="Arial"/>
        <family val="2"/>
      </rPr>
      <t>It is a crime to knowingly provide false, incomplete or misleading information to an insurance company for the purpose of defrauding the company. Penalties may include imprisonment, fines and/or denial of insurance benefits.</t>
    </r>
  </si>
  <si>
    <r>
      <t>Notice to Maryland Applicants</t>
    </r>
    <r>
      <rPr>
        <sz val="10"/>
        <color theme="1"/>
        <rFont val="Arial"/>
        <family val="2"/>
      </rPr>
      <t>: Any person who knowingly or willfully presents a false or fraudulent claim for payment of a loss or benefit or who knowingly or willfully presents false information in an application for insurance is guilty of a crime and may be subject to fines and confinement in prison.</t>
    </r>
  </si>
  <si>
    <r>
      <t xml:space="preserve">Notice to New Hampshire Applicants: </t>
    </r>
    <r>
      <rPr>
        <sz val="10"/>
        <color theme="1"/>
        <rFont val="Arial"/>
        <family val="2"/>
      </rPr>
      <t>Any person who, with a purpose to injure, defraud or deceive an insurance company, files a statement of claim containing any false, incomplete or misleading information is subject to prosecution and punishment for insurance fraud as provided in RSA 638:20.</t>
    </r>
  </si>
  <si>
    <r>
      <rPr>
        <b/>
        <sz val="10"/>
        <color theme="1"/>
        <rFont val="Arial"/>
        <family val="2"/>
      </rPr>
      <t>Notice to New York Applicants:</t>
    </r>
    <r>
      <rPr>
        <sz val="10"/>
        <color theme="1"/>
        <rFont val="Arial"/>
        <family val="2"/>
      </rPr>
      <t xml:space="preserve"> Any person who knowingly and with intent to defraud any insurance company or other person files an application for insurance or statement of claim containing any materially false information, or conceals for the purpose of misleading, a crime, and shall also be subject to a civil penalty not to exceed $5,000 and the stated value of the claim for each such violation.information concerning any fact material thereto, commits a fraudulent insurance act, which is </t>
    </r>
  </si>
  <si>
    <r>
      <t xml:space="preserve">Notice to Pennsylvania Applicants: </t>
    </r>
    <r>
      <rPr>
        <sz val="10"/>
        <color theme="1"/>
        <rFont val="Arial"/>
        <family val="2"/>
      </rPr>
      <t>Any person who knowingly and with intent to defraud any insurance company or other person files an application for insurance or statement of claim containing any materially false information or conceals for purposes of misleading, information concerning any fact material thereto commits a fraudulent insurance act, which is a crime and subjects such person to criminal and civil penalties.</t>
    </r>
  </si>
  <si>
    <t>I have read the foregoing and agree that it is true and complete to the best of my knowledge and that this policy, if issued and all renewals thereof are to be issued in reliance upon this information, unless a change in information is supplied to me. I understand that signing this application does not bind me to accept this insurance nor does it bind the company to issue a policy to me.</t>
  </si>
  <si>
    <t>The Insurer is hereby authorized, but not required, to make any investigation and inquiry in connection with the information, statements and disclosures provided in this Application. The decision of the Insurer not to make or to limit any investigation or inquiry shall not be deemed a waiver of any rights by the Insurer and shall not estop the Insurer from relying on any statement in this Application in the event the Policy is issued. It is agreed that this Application shall be the basis of the contract should a policy be issued and it will be attached and become a part of the Policy.</t>
  </si>
  <si>
    <t>INSURANCE CANNOT BE CONSIDERED FOR BINDING UNLESS THIS APPLICATION IS SIGNED BY THE APPLICANT:</t>
  </si>
  <si>
    <r>
      <t>X</t>
    </r>
    <r>
      <rPr>
        <b/>
        <u/>
        <sz val="10"/>
        <color theme="1"/>
        <rFont val="Arial"/>
        <family val="2"/>
      </rPr>
      <t xml:space="preserve"> </t>
    </r>
  </si>
  <si>
    <t>_______________________________________</t>
  </si>
  <si>
    <t>________</t>
  </si>
  <si>
    <t>Agent/Broker Signature</t>
  </si>
  <si>
    <t>Miscellaneous Professional Liability Program</t>
  </si>
  <si>
    <t>Old Republic Insurance</t>
  </si>
  <si>
    <t>Business Address:</t>
  </si>
  <si>
    <t>Business Address City:</t>
  </si>
  <si>
    <t>Business Address State:</t>
  </si>
  <si>
    <t>Business Address Zip:</t>
  </si>
  <si>
    <t>Business Phone:</t>
  </si>
  <si>
    <t>Business Web URL:</t>
  </si>
  <si>
    <t>Name of Insured:</t>
  </si>
  <si>
    <t>TEST CLIENT</t>
  </si>
  <si>
    <t>1 Main Street Suite 200</t>
  </si>
  <si>
    <t>Colorado Springs</t>
  </si>
  <si>
    <t>www.one80.com</t>
  </si>
  <si>
    <t>303-900-2960</t>
  </si>
  <si>
    <t>Real- Estate and CGL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</si>
</sst>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quot;$&quot;#,##0\)"/>
    <numFmt numFmtId="165" formatCode="_(&quot;$&quot;* #,##0.00_);_(&quot;$&quot;* \(#,##0.00\);_(&quot;$&quot;* &quot;-&quot;??_);_(@_)"/>
    <numFmt numFmtId="166" formatCode="_(&quot;$&quot;* #,##0_);_(&quot;$&quot;* \(#,##0\);_(&quot;$&quot;* &quot;-&quot;??_);_(@_)"/>
    <numFmt numFmtId="167" formatCode="[&lt;=9999999]###\-####;\(###\)\ ###\-####"/>
    <numFmt numFmtId="168" formatCode="00000"/>
  </numFmts>
  <fonts count="4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sz val="10"/>
      <color rgb="FF231F20"/>
      <name val="Calibri"/>
      <family val="2"/>
    </font>
    <font>
      <sz val="11"/>
      <color rgb="FFFF0000"/>
      <name val="Calibri"/>
      <family val="2"/>
      <scheme val="minor"/>
    </font>
    <font>
      <sz val="10"/>
      <color theme="1"/>
      <name val="Times New Roman"/>
      <family val="1"/>
    </font>
    <font>
      <sz val="3"/>
      <color theme="1"/>
      <name val="Times New Roman"/>
      <family val="1"/>
    </font>
    <font>
      <sz val="11"/>
      <color theme="1"/>
      <name val="Arial Narrow"/>
      <family val="2"/>
    </font>
    <font>
      <b/>
      <sz val="11"/>
      <color theme="1"/>
      <name val="Arial Narrow"/>
      <family val="2"/>
    </font>
    <font>
      <b/>
      <i/>
      <sz val="10.5"/>
      <color theme="1"/>
      <name val="Arial Narrow"/>
      <family val="2"/>
    </font>
    <font>
      <b/>
      <u/>
      <sz val="11"/>
      <color theme="1"/>
      <name val="Arial Narrow"/>
      <family val="2"/>
    </font>
    <font>
      <b/>
      <sz val="10"/>
      <color theme="1"/>
      <name val="Arial Narrow"/>
      <family val="2"/>
    </font>
    <font>
      <sz val="10"/>
      <color theme="1"/>
      <name val="Arial Narrow"/>
      <family val="2"/>
    </font>
    <font>
      <b/>
      <sz val="11"/>
      <color rgb="FFFF0000"/>
      <name val="Arial Narrow"/>
      <family val="2"/>
    </font>
    <font>
      <b/>
      <sz val="11"/>
      <name val="Arial Narrow"/>
      <family val="2"/>
    </font>
    <font>
      <sz val="11"/>
      <name val="Calibri"/>
      <family val="2"/>
      <scheme val="minor"/>
    </font>
    <font>
      <b/>
      <sz val="11"/>
      <name val="Calibri"/>
      <family val="2"/>
      <scheme val="minor"/>
    </font>
    <font>
      <sz val="11"/>
      <color theme="1"/>
      <name val="Symbol"/>
      <family val="1"/>
      <charset val="2"/>
    </font>
    <font>
      <sz val="7"/>
      <color theme="1"/>
      <name val="Times New Roman"/>
      <family val="1"/>
    </font>
    <font>
      <b/>
      <sz val="11"/>
      <color rgb="FFFF0000"/>
      <name val="Calibri"/>
      <family val="2"/>
      <scheme val="minor"/>
    </font>
    <font>
      <sz val="12"/>
      <color theme="1"/>
      <name val="Tahoma"/>
      <family val="2"/>
    </font>
    <font>
      <b/>
      <sz val="9"/>
      <color theme="1"/>
      <name val="Arial"/>
      <family val="2"/>
    </font>
    <font>
      <sz val="9"/>
      <color theme="1"/>
      <name val="Arial"/>
      <family val="2"/>
    </font>
    <font>
      <sz val="11"/>
      <color theme="1"/>
      <name val="Arial"/>
      <family val="2"/>
    </font>
    <font>
      <b/>
      <sz val="9"/>
      <color theme="1"/>
      <name val="Arial Narrow"/>
      <family val="2"/>
    </font>
    <font>
      <sz val="9"/>
      <color theme="1"/>
      <name val="Arial Narrow"/>
      <family val="2"/>
    </font>
    <font>
      <b/>
      <sz val="9"/>
      <color rgb="FFFF0000"/>
      <name val="Arial Narrow"/>
      <family val="2"/>
    </font>
    <font>
      <sz val="20"/>
      <color theme="1"/>
      <name val="Arial"/>
      <family val="2"/>
    </font>
    <font>
      <b/>
      <u/>
      <sz val="9"/>
      <color theme="1"/>
      <name val="Arial"/>
      <family val="2"/>
    </font>
    <font>
      <b/>
      <sz val="9"/>
      <color rgb="FFFF0000"/>
      <name val="Arial"/>
      <family val="2"/>
    </font>
    <font>
      <sz val="9.5"/>
      <color theme="1"/>
      <name val="Arial"/>
      <family val="2"/>
    </font>
    <font>
      <b/>
      <sz val="10"/>
      <color theme="1"/>
      <name val="Arial"/>
      <family val="2"/>
    </font>
    <font>
      <b/>
      <sz val="7"/>
      <color theme="1"/>
      <name val="Arial"/>
      <family val="2"/>
    </font>
    <font>
      <b/>
      <sz val="7"/>
      <color theme="1"/>
      <name val="Arial Narrow"/>
      <family val="2"/>
    </font>
    <font>
      <b/>
      <sz val="14"/>
      <color theme="1"/>
      <name val="Arial"/>
      <family val="2"/>
    </font>
    <font>
      <sz val="9.5"/>
      <color theme="1"/>
      <name val="Arial Narrow"/>
      <family val="2"/>
    </font>
    <font>
      <b/>
      <sz val="18"/>
      <color theme="1"/>
      <name val="Times New Roman"/>
      <family val="1"/>
    </font>
    <font>
      <b/>
      <u/>
      <sz val="10"/>
      <color theme="1"/>
      <name val="Arial"/>
      <family val="2"/>
    </font>
    <font>
      <u/>
      <sz val="11"/>
      <color theme="1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bgColor indexed="64"/>
      </patternFill>
    </fill>
  </fills>
  <borders count="2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xf numFmtId="165" fontId="1" fillId="0" borderId="0" applyFont="0" applyFill="0" applyBorder="0" applyAlignment="0" applyProtection="0"/>
    <xf numFmtId="0" fontId="3" fillId="0" borderId="0"/>
    <xf numFmtId="0" fontId="40" fillId="0" borderId="0" applyNumberFormat="0" applyFill="0" applyBorder="0" applyAlignment="0" applyProtection="0"/>
  </cellStyleXfs>
  <cellXfs count="188">
    <xf numFmtId="0" fontId="0" fillId="0" borderId="0" xfId="0"/>
    <xf numFmtId="165" fontId="0" fillId="0" borderId="0" xfId="1" applyFont="1"/>
    <xf numFmtId="0" fontId="0" fillId="2" borderId="0" xfId="0" applyFill="1"/>
    <xf numFmtId="166" fontId="0" fillId="0" borderId="0" xfId="1" applyNumberFormat="1" applyFont="1"/>
    <xf numFmtId="0" fontId="0" fillId="0" borderId="0" xfId="0" applyAlignment="1">
      <alignment vertical="center" wrapText="1"/>
    </xf>
    <xf numFmtId="0" fontId="0" fillId="3" borderId="0" xfId="0" applyFill="1"/>
    <xf numFmtId="3" fontId="0" fillId="0" borderId="0" xfId="0" applyNumberFormat="1"/>
    <xf numFmtId="0" fontId="0" fillId="4" borderId="0" xfId="0" applyFill="1"/>
    <xf numFmtId="0" fontId="0" fillId="4" borderId="0" xfId="0" applyFill="1" applyAlignment="1">
      <alignment vertical="center" wrapText="1"/>
    </xf>
    <xf numFmtId="0" fontId="0" fillId="5" borderId="0" xfId="0" applyFill="1"/>
    <xf numFmtId="165" fontId="0" fillId="4" borderId="0" xfId="1" applyFont="1" applyFill="1"/>
    <xf numFmtId="165" fontId="0" fillId="6" borderId="0" xfId="1" applyFont="1" applyFill="1"/>
    <xf numFmtId="0" fontId="0" fillId="6" borderId="0" xfId="0" applyFill="1"/>
    <xf numFmtId="0" fontId="0" fillId="7" borderId="0" xfId="0" applyFill="1"/>
    <xf numFmtId="165" fontId="0" fillId="8" borderId="0" xfId="1" applyFont="1" applyFill="1"/>
    <xf numFmtId="0" fontId="0" fillId="8" borderId="0" xfId="0" applyFill="1"/>
    <xf numFmtId="165" fontId="0" fillId="9" borderId="0" xfId="1" applyFont="1" applyFill="1"/>
    <xf numFmtId="0" fontId="0" fillId="9" borderId="0" xfId="0" applyFill="1"/>
    <xf numFmtId="165" fontId="0" fillId="10" borderId="0" xfId="1" applyFont="1" applyFill="1"/>
    <xf numFmtId="0" fontId="0" fillId="10" borderId="0" xfId="0" applyFill="1"/>
    <xf numFmtId="0" fontId="0" fillId="11" borderId="0" xfId="0" applyFill="1"/>
    <xf numFmtId="165" fontId="0" fillId="0" borderId="0" xfId="0" applyNumberFormat="1"/>
    <xf numFmtId="0" fontId="2" fillId="0" borderId="0" xfId="0" applyFont="1"/>
    <xf numFmtId="0" fontId="0" fillId="0" borderId="0" xfId="0" applyAlignment="1">
      <alignment horizontal="left"/>
    </xf>
    <xf numFmtId="0" fontId="3" fillId="0" borderId="0" xfId="2" applyAlignment="1">
      <alignment wrapText="1"/>
    </xf>
    <xf numFmtId="0" fontId="4" fillId="0" borderId="0" xfId="0" applyFont="1"/>
    <xf numFmtId="0" fontId="0" fillId="0" borderId="0" xfId="0" applyAlignment="1">
      <alignment horizontal="left" vertical="top"/>
    </xf>
    <xf numFmtId="0" fontId="0" fillId="12" borderId="0" xfId="0" applyFill="1" applyAlignment="1">
      <alignment horizontal="left"/>
    </xf>
    <xf numFmtId="0" fontId="0" fillId="0" borderId="0" xfId="0" applyAlignment="1">
      <alignment horizontal="center" vertical="center" wrapText="1"/>
    </xf>
    <xf numFmtId="0" fontId="7" fillId="0" borderId="0" xfId="0" applyFont="1" applyAlignment="1">
      <alignment horizontal="left" vertical="center" indent="15"/>
    </xf>
    <xf numFmtId="0" fontId="8"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9" fillId="0" borderId="0" xfId="0" applyFont="1"/>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horizontal="left" vertical="center" wrapText="1"/>
    </xf>
    <xf numFmtId="0" fontId="13" fillId="0" borderId="0" xfId="0" applyFont="1" applyAlignment="1">
      <alignment vertical="center"/>
    </xf>
    <xf numFmtId="0" fontId="13" fillId="0" borderId="0" xfId="0" applyFont="1" applyAlignment="1">
      <alignment horizontal="left" vertical="center" indent="2"/>
    </xf>
    <xf numFmtId="0" fontId="14" fillId="0" borderId="0" xfId="0" applyFont="1" applyAlignment="1">
      <alignment horizontal="left" vertical="center" indent="2"/>
    </xf>
    <xf numFmtId="166" fontId="14" fillId="0" borderId="0" xfId="1" applyNumberFormat="1" applyFont="1" applyBorder="1" applyAlignment="1">
      <alignment vertical="center"/>
    </xf>
    <xf numFmtId="0" fontId="16" fillId="0" borderId="0" xfId="0" applyFont="1" applyAlignment="1">
      <alignment horizontal="left" vertical="center" indent="2"/>
    </xf>
    <xf numFmtId="0" fontId="17" fillId="0" borderId="0" xfId="0" applyFont="1"/>
    <xf numFmtId="165" fontId="1" fillId="0" borderId="0" xfId="1" applyFont="1"/>
    <xf numFmtId="165" fontId="17" fillId="0" borderId="0" xfId="1" applyFont="1" applyBorder="1" applyAlignment="1"/>
    <xf numFmtId="0" fontId="18" fillId="0" borderId="0" xfId="0" applyFont="1"/>
    <xf numFmtId="0" fontId="9" fillId="0" borderId="0" xfId="0" applyFont="1" applyAlignment="1">
      <alignment horizontal="left" vertical="center" indent="2"/>
    </xf>
    <xf numFmtId="0" fontId="19" fillId="0" borderId="0" xfId="0" applyFont="1" applyAlignment="1">
      <alignment horizontal="left" vertical="center" indent="7"/>
    </xf>
    <xf numFmtId="0" fontId="9" fillId="0" borderId="0" xfId="0" applyFont="1" applyAlignment="1">
      <alignment horizontal="left" vertical="center" indent="7"/>
    </xf>
    <xf numFmtId="0" fontId="15" fillId="2" borderId="0" xfId="0" applyFont="1" applyFill="1" applyAlignment="1">
      <alignment horizontal="left" vertical="center" indent="2"/>
    </xf>
    <xf numFmtId="0" fontId="6" fillId="2" borderId="0" xfId="0" applyFont="1" applyFill="1"/>
    <xf numFmtId="0" fontId="6" fillId="0" borderId="0" xfId="0" applyFont="1"/>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left" vertical="center" indent="5"/>
    </xf>
    <xf numFmtId="0" fontId="0" fillId="0" borderId="0" xfId="0" applyAlignment="1">
      <alignment horizontal="center" vertical="center"/>
    </xf>
    <xf numFmtId="0" fontId="0" fillId="0" borderId="0" xfId="0" applyAlignment="1">
      <alignment horizontal="left" vertical="center" wrapText="1"/>
    </xf>
    <xf numFmtId="0" fontId="24" fillId="0" borderId="0" xfId="0" applyFont="1" applyAlignment="1">
      <alignment horizontal="center" vertical="center" wrapText="1"/>
    </xf>
    <xf numFmtId="164" fontId="24" fillId="0" borderId="0" xfId="1" applyNumberFormat="1" applyFont="1" applyBorder="1" applyAlignment="1">
      <alignment horizontal="left" vertical="center" wrapText="1"/>
    </xf>
    <xf numFmtId="0" fontId="26" fillId="0" borderId="0" xfId="0" applyFont="1" applyAlignment="1">
      <alignment vertical="center" wrapText="1"/>
    </xf>
    <xf numFmtId="0" fontId="26" fillId="0" borderId="0" xfId="0" applyFont="1" applyAlignment="1">
      <alignment vertical="center"/>
    </xf>
    <xf numFmtId="0" fontId="26" fillId="0" borderId="0" xfId="0" applyFont="1" applyAlignment="1">
      <alignment horizontal="left" vertical="center" indent="10"/>
    </xf>
    <xf numFmtId="0" fontId="28" fillId="0" borderId="0" xfId="0" applyFont="1" applyAlignment="1">
      <alignment horizontal="left" vertical="center" indent="10"/>
    </xf>
    <xf numFmtId="0" fontId="21" fillId="0" borderId="0" xfId="0" applyFont="1"/>
    <xf numFmtId="0" fontId="29" fillId="0" borderId="0" xfId="0" applyFont="1" applyAlignment="1">
      <alignment vertical="center"/>
    </xf>
    <xf numFmtId="0" fontId="23" fillId="0" borderId="0" xfId="0" applyFont="1" applyAlignment="1">
      <alignment horizontal="left" vertical="center" indent="5"/>
    </xf>
    <xf numFmtId="0" fontId="30" fillId="0" borderId="0" xfId="0" applyFont="1" applyAlignment="1">
      <alignment horizontal="left" vertical="center" indent="15"/>
    </xf>
    <xf numFmtId="0" fontId="23" fillId="0" borderId="0" xfId="0" applyFont="1" applyAlignment="1">
      <alignment vertical="center"/>
    </xf>
    <xf numFmtId="0" fontId="23" fillId="0" borderId="0" xfId="0" applyFont="1" applyAlignment="1">
      <alignment horizontal="center" vertical="center"/>
    </xf>
    <xf numFmtId="0" fontId="32" fillId="0" borderId="0" xfId="0" applyFont="1" applyAlignment="1">
      <alignment horizontal="left" vertical="center" indent="4"/>
    </xf>
    <xf numFmtId="0" fontId="23" fillId="0" borderId="0" xfId="0" applyFont="1" applyAlignment="1">
      <alignment horizontal="left" vertical="center" wrapText="1"/>
    </xf>
    <xf numFmtId="0" fontId="33" fillId="0" borderId="0" xfId="0" applyFont="1" applyAlignment="1">
      <alignment horizontal="left" vertical="center" indent="4"/>
    </xf>
    <xf numFmtId="0" fontId="34" fillId="0" borderId="0" xfId="0" applyFont="1" applyAlignment="1">
      <alignment horizontal="left" vertical="center" indent="4"/>
    </xf>
    <xf numFmtId="0" fontId="13" fillId="0" borderId="0" xfId="0" applyFont="1" applyAlignment="1">
      <alignment horizontal="left" vertical="center" indent="4"/>
    </xf>
    <xf numFmtId="0" fontId="35" fillId="0" borderId="0" xfId="0" applyFont="1" applyAlignment="1">
      <alignment horizontal="left" vertical="center" indent="4"/>
    </xf>
    <xf numFmtId="0" fontId="26" fillId="0" borderId="0" xfId="0" applyFont="1" applyAlignment="1">
      <alignment horizontal="left" vertical="center" indent="4"/>
    </xf>
    <xf numFmtId="0" fontId="26" fillId="0" borderId="0" xfId="0" applyFont="1" applyAlignment="1">
      <alignment horizontal="left" vertical="center" indent="15"/>
    </xf>
    <xf numFmtId="0" fontId="37" fillId="0" borderId="0" xfId="0" applyFont="1" applyAlignment="1">
      <alignment horizontal="left" vertical="center" indent="3"/>
    </xf>
    <xf numFmtId="0" fontId="38" fillId="0" borderId="0" xfId="0" applyFont="1" applyAlignment="1">
      <alignment horizontal="center" vertical="center"/>
    </xf>
    <xf numFmtId="0" fontId="33" fillId="0" borderId="0" xfId="0" applyFont="1" applyAlignment="1">
      <alignment horizontal="center" vertical="center" wrapText="1"/>
    </xf>
    <xf numFmtId="0" fontId="3" fillId="0" borderId="0" xfId="0" applyFont="1" applyAlignment="1">
      <alignment horizontal="left" vertical="center" indent="8"/>
    </xf>
    <xf numFmtId="0" fontId="33" fillId="0" borderId="0" xfId="0" applyFont="1" applyAlignment="1">
      <alignment horizontal="left" vertical="center" indent="8"/>
    </xf>
    <xf numFmtId="0" fontId="0" fillId="0" borderId="1" xfId="0" applyBorder="1"/>
    <xf numFmtId="0" fontId="0" fillId="0" borderId="3" xfId="0" applyBorder="1"/>
    <xf numFmtId="0" fontId="0" fillId="0" borderId="4" xfId="0" applyBorder="1"/>
    <xf numFmtId="0" fontId="0" fillId="0" borderId="6" xfId="0" applyBorder="1"/>
    <xf numFmtId="0" fontId="0" fillId="0" borderId="7" xfId="0" applyBorder="1"/>
    <xf numFmtId="167" fontId="0" fillId="0" borderId="6" xfId="0" applyNumberFormat="1" applyBorder="1"/>
    <xf numFmtId="168" fontId="0" fillId="0" borderId="6" xfId="0" applyNumberFormat="1" applyBorder="1"/>
    <xf numFmtId="0" fontId="40" fillId="0" borderId="9" xfId="3" applyNumberFormat="1" applyBorder="1"/>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xf>
    <xf numFmtId="0" fontId="9"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xf>
    <xf numFmtId="0" fontId="2"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right" vertical="center"/>
    </xf>
    <xf numFmtId="0" fontId="12" fillId="0" borderId="0" xfId="0" applyFont="1" applyAlignment="1">
      <alignment horizontal="center" vertical="center"/>
    </xf>
    <xf numFmtId="0" fontId="14" fillId="0" borderId="0" xfId="0" applyFont="1" applyAlignment="1">
      <alignment horizontal="left" vertical="center" wrapText="1"/>
    </xf>
    <xf numFmtId="0" fontId="13" fillId="0" borderId="0" xfId="0" applyFont="1" applyAlignment="1">
      <alignment horizontal="center" vertical="center"/>
    </xf>
    <xf numFmtId="14" fontId="4" fillId="0" borderId="0" xfId="0" applyNumberFormat="1" applyFont="1" applyAlignment="1">
      <alignment horizontal="center"/>
    </xf>
    <xf numFmtId="0" fontId="14" fillId="0" borderId="0" xfId="0" applyFont="1" applyAlignment="1">
      <alignment horizontal="center" vertical="center"/>
    </xf>
    <xf numFmtId="0" fontId="0" fillId="0" borderId="0" xfId="0" applyAlignment="1">
      <alignment horizontal="left" vertical="center" wrapText="1"/>
    </xf>
    <xf numFmtId="0" fontId="10" fillId="0" borderId="0" xfId="0" applyFont="1" applyAlignment="1">
      <alignment horizontal="center" vertical="center" wrapText="1"/>
    </xf>
    <xf numFmtId="0" fontId="22" fillId="0" borderId="0" xfId="0" applyFont="1" applyAlignment="1">
      <alignment horizontal="center" vertical="center"/>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166" fontId="24" fillId="0" borderId="5" xfId="1" applyNumberFormat="1" applyFont="1" applyBorder="1" applyAlignment="1">
      <alignment horizontal="left" vertical="center" wrapText="1"/>
    </xf>
    <xf numFmtId="166" fontId="24" fillId="0" borderId="6" xfId="1" applyNumberFormat="1" applyFont="1" applyBorder="1" applyAlignment="1">
      <alignment horizontal="left" vertical="center" wrapText="1"/>
    </xf>
    <xf numFmtId="0" fontId="0" fillId="0" borderId="0" xfId="0" applyAlignment="1">
      <alignment horizontal="left" wrapText="1"/>
    </xf>
    <xf numFmtId="0" fontId="15" fillId="0" borderId="0" xfId="0" applyFont="1" applyAlignment="1">
      <alignment horizontal="center" vertical="center"/>
    </xf>
    <xf numFmtId="0" fontId="6" fillId="0" borderId="0" xfId="0" applyFont="1" applyAlignment="1">
      <alignment horizontal="center"/>
    </xf>
    <xf numFmtId="49" fontId="24" fillId="0" borderId="5" xfId="1" applyNumberFormat="1" applyFont="1" applyBorder="1" applyAlignment="1">
      <alignment vertical="center" wrapText="1"/>
    </xf>
    <xf numFmtId="49" fontId="24" fillId="0" borderId="6" xfId="1" applyNumberFormat="1" applyFont="1" applyBorder="1" applyAlignment="1">
      <alignment vertical="center" wrapText="1"/>
    </xf>
    <xf numFmtId="164" fontId="24" fillId="0" borderId="5" xfId="1" applyNumberFormat="1" applyFont="1" applyBorder="1" applyAlignment="1">
      <alignment horizontal="left" vertical="center" wrapText="1"/>
    </xf>
    <xf numFmtId="164" fontId="24" fillId="0" borderId="6" xfId="1" applyNumberFormat="1" applyFont="1" applyBorder="1" applyAlignment="1">
      <alignment horizontal="left" vertical="center" wrapText="1"/>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24"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20"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8" xfId="0" applyFont="1" applyBorder="1" applyAlignment="1">
      <alignment horizontal="center" vertical="center" wrapText="1"/>
    </xf>
    <xf numFmtId="164" fontId="24" fillId="0" borderId="8" xfId="1" applyNumberFormat="1" applyFont="1" applyBorder="1" applyAlignment="1">
      <alignment horizontal="left" vertical="center" wrapText="1"/>
    </xf>
    <xf numFmtId="164" fontId="24" fillId="0" borderId="9" xfId="1" applyNumberFormat="1" applyFont="1" applyBorder="1" applyAlignment="1">
      <alignment horizontal="left" vertical="center" wrapText="1"/>
    </xf>
    <xf numFmtId="0" fontId="25" fillId="0" borderId="10" xfId="0" applyFont="1" applyBorder="1" applyAlignment="1">
      <alignment horizontal="center"/>
    </xf>
    <xf numFmtId="0" fontId="25" fillId="0" borderId="11" xfId="0" applyFont="1" applyBorder="1" applyAlignment="1">
      <alignment horizontal="center"/>
    </xf>
    <xf numFmtId="0" fontId="25" fillId="0" borderId="12" xfId="0" applyFont="1" applyBorder="1" applyAlignment="1">
      <alignment horizontal="center"/>
    </xf>
    <xf numFmtId="0" fontId="24" fillId="0" borderId="13" xfId="0" applyFont="1" applyBorder="1" applyAlignment="1">
      <alignment horizontal="left" vertical="center" wrapText="1"/>
    </xf>
    <xf numFmtId="0" fontId="24" fillId="0" borderId="14" xfId="0" applyFont="1" applyBorder="1" applyAlignment="1">
      <alignment horizontal="left"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1" fontId="0" fillId="0" borderId="24" xfId="0" applyNumberFormat="1" applyBorder="1" applyAlignment="1">
      <alignment horizontal="center"/>
    </xf>
    <xf numFmtId="1" fontId="0" fillId="0" borderId="25" xfId="0" applyNumberFormat="1" applyBorder="1" applyAlignment="1">
      <alignment horizontal="center"/>
    </xf>
    <xf numFmtId="1" fontId="0" fillId="0" borderId="26" xfId="0" applyNumberFormat="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23" fillId="0" borderId="19" xfId="0" applyFont="1" applyBorder="1" applyAlignment="1">
      <alignment horizontal="center" vertical="center"/>
    </xf>
    <xf numFmtId="0" fontId="24" fillId="0" borderId="1" xfId="0" applyFont="1" applyBorder="1" applyAlignment="1">
      <alignment horizontal="right" vertical="center" wrapText="1"/>
    </xf>
    <xf numFmtId="0" fontId="24" fillId="0" borderId="2" xfId="0" applyFont="1" applyBorder="1" applyAlignment="1">
      <alignment horizontal="right"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4" fillId="0" borderId="4" xfId="0" applyFont="1" applyBorder="1" applyAlignment="1">
      <alignment horizontal="right" vertical="center" wrapText="1"/>
    </xf>
    <xf numFmtId="0" fontId="24" fillId="0" borderId="5" xfId="0" applyFont="1" applyBorder="1" applyAlignment="1">
      <alignment horizontal="right" vertical="center" wrapText="1"/>
    </xf>
    <xf numFmtId="0" fontId="27" fillId="0" borderId="5" xfId="0" applyFont="1" applyBorder="1" applyAlignment="1">
      <alignment horizontal="center" vertical="center" wrapText="1"/>
    </xf>
    <xf numFmtId="0" fontId="27" fillId="0" borderId="6" xfId="0" applyFont="1" applyBorder="1" applyAlignment="1">
      <alignment horizontal="center" vertical="center" wrapText="1"/>
    </xf>
    <xf numFmtId="164" fontId="0" fillId="0" borderId="24" xfId="1" applyNumberFormat="1" applyFont="1" applyBorder="1" applyAlignment="1">
      <alignment horizontal="center"/>
    </xf>
    <xf numFmtId="164" fontId="0" fillId="0" borderId="25" xfId="1" applyNumberFormat="1" applyFont="1" applyBorder="1" applyAlignment="1">
      <alignment horizontal="center"/>
    </xf>
    <xf numFmtId="164" fontId="0" fillId="0" borderId="26" xfId="1" applyNumberFormat="1" applyFont="1" applyBorder="1" applyAlignment="1">
      <alignment horizontal="center"/>
    </xf>
    <xf numFmtId="0" fontId="0" fillId="0" borderId="27" xfId="0" applyBorder="1" applyAlignment="1">
      <alignment horizontal="center"/>
    </xf>
    <xf numFmtId="0" fontId="0" fillId="0" borderId="17" xfId="0" applyBorder="1" applyAlignment="1">
      <alignment horizontal="center"/>
    </xf>
    <xf numFmtId="0" fontId="0" fillId="0" borderId="28" xfId="0" applyBorder="1" applyAlignment="1">
      <alignment horizontal="center"/>
    </xf>
    <xf numFmtId="0" fontId="24" fillId="0" borderId="7" xfId="0" applyFont="1" applyBorder="1" applyAlignment="1">
      <alignment horizontal="right" vertical="center" wrapText="1"/>
    </xf>
    <xf numFmtId="0" fontId="24" fillId="0" borderId="8" xfId="0" applyFont="1" applyBorder="1" applyAlignment="1">
      <alignment horizontal="right" vertical="center" wrapText="1"/>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9" fillId="0" borderId="0" xfId="0" applyFont="1" applyAlignment="1">
      <alignment horizontal="center" vertical="center"/>
    </xf>
    <xf numFmtId="0" fontId="23" fillId="0" borderId="0" xfId="0" applyFont="1" applyAlignment="1">
      <alignment horizontal="center" vertical="center"/>
    </xf>
    <xf numFmtId="0" fontId="31" fillId="0" borderId="0" xfId="0" applyFont="1" applyAlignment="1">
      <alignment horizontal="center" vertical="center"/>
    </xf>
    <xf numFmtId="0" fontId="23" fillId="0" borderId="0" xfId="0" applyFont="1" applyAlignment="1">
      <alignment horizontal="left" vertical="center" wrapText="1"/>
    </xf>
    <xf numFmtId="0" fontId="33" fillId="0" borderId="0" xfId="0" applyFont="1" applyAlignment="1">
      <alignment horizontal="left" vertical="center" wrapText="1"/>
    </xf>
    <xf numFmtId="0" fontId="21" fillId="0" borderId="0" xfId="0" applyFont="1" applyAlignment="1">
      <alignment horizontal="center"/>
    </xf>
    <xf numFmtId="0" fontId="31" fillId="0" borderId="0" xfId="0" applyFont="1" applyAlignment="1">
      <alignment horizontal="left" vertical="center"/>
    </xf>
    <xf numFmtId="0" fontId="27" fillId="0" borderId="0" xfId="0" applyFont="1" applyAlignment="1">
      <alignment horizontal="center" vertical="center" wrapText="1"/>
    </xf>
    <xf numFmtId="0" fontId="36" fillId="0" borderId="0" xfId="0" applyFont="1" applyAlignment="1">
      <alignment horizontal="center" vertical="center"/>
    </xf>
    <xf numFmtId="0" fontId="33" fillId="0" borderId="0" xfId="0" applyFont="1" applyAlignment="1">
      <alignment horizontal="center" vertical="center" wrapText="1"/>
    </xf>
    <xf numFmtId="0" fontId="24" fillId="0" borderId="0" xfId="0" applyFont="1" applyAlignment="1">
      <alignment horizontal="center" vertical="center"/>
    </xf>
    <xf numFmtId="0" fontId="3" fillId="0" borderId="0" xfId="0" applyFont="1" applyAlignment="1">
      <alignment horizontal="left" vertical="center" wrapText="1"/>
    </xf>
  </cellXfs>
  <cellStyles count="4">
    <cellStyle name="Currency" xfId="1" builtinId="4"/>
    <cellStyle name="Hyperlink" xfId="3" builtinId="8"/>
    <cellStyle name="Normal" xfId="0" builtinId="0"/>
    <cellStyle name="Normal 2" xfId="2" xr:uid="{70F0C1BF-9C77-4AD2-9B72-AA45FD2756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152400</xdr:colOff>
      <xdr:row>117</xdr:row>
      <xdr:rowOff>104775</xdr:rowOff>
    </xdr:from>
    <xdr:to>
      <xdr:col>4</xdr:col>
      <xdr:colOff>457200</xdr:colOff>
      <xdr:row>117</xdr:row>
      <xdr:rowOff>114300</xdr:rowOff>
    </xdr:to>
    <xdr:sp macro="" textlink="">
      <xdr:nvSpPr>
        <xdr:cNvPr id="2" name="Freeform 4">
          <a:extLst>
            <a:ext uri="{FF2B5EF4-FFF2-40B4-BE49-F238E27FC236}">
              <a16:creationId xmlns:a16="http://schemas.microsoft.com/office/drawing/2014/main" id="{00B365C3-20D3-4626-8988-278ECB78C2AA}"/>
            </a:ext>
          </a:extLst>
        </xdr:cNvPr>
        <xdr:cNvSpPr>
          <a:spLocks/>
        </xdr:cNvSpPr>
      </xdr:nvSpPr>
      <xdr:spPr bwMode="auto">
        <a:xfrm>
          <a:off x="152400" y="23869650"/>
          <a:ext cx="3114675" cy="9525"/>
        </a:xfrm>
        <a:custGeom>
          <a:avLst/>
          <a:gdLst>
            <a:gd name="T0" fmla="*/ 0 w 4320"/>
            <a:gd name="T1" fmla="*/ 0 h 20"/>
            <a:gd name="T2" fmla="*/ 4320 w 4320"/>
            <a:gd name="T3" fmla="*/ 0 h 20"/>
          </a:gdLst>
          <a:ahLst/>
          <a:cxnLst>
            <a:cxn ang="0">
              <a:pos x="T0" y="T1"/>
            </a:cxn>
            <a:cxn ang="0">
              <a:pos x="T2" y="T3"/>
            </a:cxn>
          </a:cxnLst>
          <a:rect l="0" t="0" r="r" b="b"/>
          <a:pathLst>
            <a:path w="4320" h="20">
              <a:moveTo>
                <a:pt x="0" y="0"/>
              </a:moveTo>
              <a:lnTo>
                <a:pt x="432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285750</xdr:colOff>
      <xdr:row>117</xdr:row>
      <xdr:rowOff>142875</xdr:rowOff>
    </xdr:from>
    <xdr:to>
      <xdr:col>8</xdr:col>
      <xdr:colOff>285750</xdr:colOff>
      <xdr:row>117</xdr:row>
      <xdr:rowOff>152400</xdr:rowOff>
    </xdr:to>
    <xdr:sp macro="" textlink="">
      <xdr:nvSpPr>
        <xdr:cNvPr id="3" name="Freeform 3">
          <a:extLst>
            <a:ext uri="{FF2B5EF4-FFF2-40B4-BE49-F238E27FC236}">
              <a16:creationId xmlns:a16="http://schemas.microsoft.com/office/drawing/2014/main" id="{21AF264F-62D3-4F99-9760-86C9AC32B075}"/>
            </a:ext>
          </a:extLst>
        </xdr:cNvPr>
        <xdr:cNvSpPr>
          <a:spLocks/>
        </xdr:cNvSpPr>
      </xdr:nvSpPr>
      <xdr:spPr bwMode="auto">
        <a:xfrm>
          <a:off x="3705225" y="23907750"/>
          <a:ext cx="1828800" cy="9525"/>
        </a:xfrm>
        <a:custGeom>
          <a:avLst/>
          <a:gdLst>
            <a:gd name="T0" fmla="*/ 0 w 2880"/>
            <a:gd name="T1" fmla="*/ 0 h 20"/>
            <a:gd name="T2" fmla="*/ 2880 w 2880"/>
            <a:gd name="T3" fmla="*/ 0 h 20"/>
          </a:gdLst>
          <a:ahLst/>
          <a:cxnLst>
            <a:cxn ang="0">
              <a:pos x="T0" y="T1"/>
            </a:cxn>
            <a:cxn ang="0">
              <a:pos x="T2" y="T3"/>
            </a:cxn>
          </a:cxnLst>
          <a:rect l="0" t="0" r="r" b="b"/>
          <a:pathLst>
            <a:path w="2880" h="20">
              <a:moveTo>
                <a:pt x="0" y="0"/>
              </a:moveTo>
              <a:lnTo>
                <a:pt x="288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114300</xdr:colOff>
      <xdr:row>121</xdr:row>
      <xdr:rowOff>152400</xdr:rowOff>
    </xdr:from>
    <xdr:to>
      <xdr:col>4</xdr:col>
      <xdr:colOff>152400</xdr:colOff>
      <xdr:row>121</xdr:row>
      <xdr:rowOff>161925</xdr:rowOff>
    </xdr:to>
    <xdr:sp macro="" textlink="">
      <xdr:nvSpPr>
        <xdr:cNvPr id="4" name="Freeform 2">
          <a:extLst>
            <a:ext uri="{FF2B5EF4-FFF2-40B4-BE49-F238E27FC236}">
              <a16:creationId xmlns:a16="http://schemas.microsoft.com/office/drawing/2014/main" id="{4AE8B488-012D-4F36-9B61-1D484CEAB1A8}"/>
            </a:ext>
          </a:extLst>
        </xdr:cNvPr>
        <xdr:cNvSpPr>
          <a:spLocks/>
        </xdr:cNvSpPr>
      </xdr:nvSpPr>
      <xdr:spPr bwMode="auto">
        <a:xfrm>
          <a:off x="114300" y="24698325"/>
          <a:ext cx="2847975" cy="9525"/>
        </a:xfrm>
        <a:custGeom>
          <a:avLst/>
          <a:gdLst>
            <a:gd name="T0" fmla="*/ 0 w 4320"/>
            <a:gd name="T1" fmla="*/ 0 h 20"/>
            <a:gd name="T2" fmla="*/ 4320 w 4320"/>
            <a:gd name="T3" fmla="*/ 0 h 20"/>
          </a:gdLst>
          <a:ahLst/>
          <a:cxnLst>
            <a:cxn ang="0">
              <a:pos x="T0" y="T1"/>
            </a:cxn>
            <a:cxn ang="0">
              <a:pos x="T2" y="T3"/>
            </a:cxn>
          </a:cxnLst>
          <a:rect l="0" t="0" r="r" b="b"/>
          <a:pathLst>
            <a:path w="4320" h="20">
              <a:moveTo>
                <a:pt x="0" y="0"/>
              </a:moveTo>
              <a:lnTo>
                <a:pt x="432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314325</xdr:colOff>
      <xdr:row>121</xdr:row>
      <xdr:rowOff>152400</xdr:rowOff>
    </xdr:from>
    <xdr:to>
      <xdr:col>8</xdr:col>
      <xdr:colOff>314325</xdr:colOff>
      <xdr:row>121</xdr:row>
      <xdr:rowOff>161925</xdr:rowOff>
    </xdr:to>
    <xdr:sp macro="" textlink="">
      <xdr:nvSpPr>
        <xdr:cNvPr id="5" name="Freeform 1">
          <a:extLst>
            <a:ext uri="{FF2B5EF4-FFF2-40B4-BE49-F238E27FC236}">
              <a16:creationId xmlns:a16="http://schemas.microsoft.com/office/drawing/2014/main" id="{CC2F1831-3220-4FD5-8E7E-BBF0D3C3E52A}"/>
            </a:ext>
          </a:extLst>
        </xdr:cNvPr>
        <xdr:cNvSpPr>
          <a:spLocks/>
        </xdr:cNvSpPr>
      </xdr:nvSpPr>
      <xdr:spPr bwMode="auto">
        <a:xfrm>
          <a:off x="3733800" y="24698325"/>
          <a:ext cx="1828800" cy="9525"/>
        </a:xfrm>
        <a:custGeom>
          <a:avLst/>
          <a:gdLst>
            <a:gd name="T0" fmla="*/ 0 w 2880"/>
            <a:gd name="T1" fmla="*/ 0 h 20"/>
            <a:gd name="T2" fmla="*/ 2880 w 2880"/>
            <a:gd name="T3" fmla="*/ 0 h 20"/>
          </a:gdLst>
          <a:ahLst/>
          <a:cxnLst>
            <a:cxn ang="0">
              <a:pos x="T0" y="T1"/>
            </a:cxn>
            <a:cxn ang="0">
              <a:pos x="T2" y="T3"/>
            </a:cxn>
          </a:cxnLst>
          <a:rect l="0" t="0" r="r" b="b"/>
          <a:pathLst>
            <a:path w="2880" h="20">
              <a:moveTo>
                <a:pt x="0" y="0"/>
              </a:moveTo>
              <a:lnTo>
                <a:pt x="288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riskstrategiesco-my.sharepoint.com/personal/mburlingame_risk-strategies_com/Documents/Desktop/Raters/Copy%20of%20Rental_Rater_-_V36%207.9.25.xlsm" TargetMode="External"/><Relationship Id="rId1" Type="http://schemas.openxmlformats.org/officeDocument/2006/relationships/externalLinkPath" Target="https://riskstrategiesco-my.sharepoint.com/personal/mburlingame_risk-strategies_com/Documents/Desktop/Raters/Copy%20of%20Rental_Rater_-_V36%207.9.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Crime Instruction"/>
      <sheetName val="Sheet1"/>
      <sheetName val="Guideline"/>
      <sheetName val="Application Starstone (AMNAT)"/>
      <sheetName val="Application Fortegra"/>
      <sheetName val="Application Great Lakes"/>
      <sheetName val="Great Lakes Rules"/>
      <sheetName val="tax"/>
      <sheetName val="Application"/>
      <sheetName val="Rating Worksheet"/>
      <sheetName val="Harris Tier 1"/>
      <sheetName val="Missing Input"/>
      <sheetName val="Rating Tables"/>
      <sheetName val="Data"/>
      <sheetName val="Data Row"/>
      <sheetName val="Counties"/>
      <sheetName val="rates"/>
      <sheetName val="Changes"/>
      <sheetName val="Program"/>
    </sheetNames>
    <sheetDataSet>
      <sheetData sheetId="0">
        <row r="8">
          <cell r="S8" t="str">
            <v>CO</v>
          </cell>
          <cell r="U8">
            <v>80905</v>
          </cell>
        </row>
        <row r="9">
          <cell r="M9" t="str">
            <v xml:space="preserve">El Paso  </v>
          </cell>
        </row>
        <row r="12">
          <cell r="J12">
            <v>80906</v>
          </cell>
        </row>
        <row r="16">
          <cell r="I16" t="str">
            <v>Single Family</v>
          </cell>
        </row>
        <row r="17">
          <cell r="A17">
            <v>45231</v>
          </cell>
        </row>
        <row r="20">
          <cell r="I20" t="str">
            <v>Frame</v>
          </cell>
          <cell r="R20">
            <v>5000</v>
          </cell>
        </row>
        <row r="21">
          <cell r="C21">
            <v>100000</v>
          </cell>
        </row>
        <row r="22">
          <cell r="C22">
            <v>10000</v>
          </cell>
        </row>
        <row r="23">
          <cell r="C23">
            <v>25000</v>
          </cell>
          <cell r="U23" t="str">
            <v>No</v>
          </cell>
        </row>
        <row r="24">
          <cell r="C24">
            <v>50000</v>
          </cell>
          <cell r="I24" t="str">
            <v>Asphalt Shingles</v>
          </cell>
          <cell r="AD24">
            <v>835</v>
          </cell>
        </row>
        <row r="25">
          <cell r="C25">
            <v>185000</v>
          </cell>
        </row>
        <row r="27">
          <cell r="AD27">
            <v>125</v>
          </cell>
        </row>
        <row r="28">
          <cell r="C28" t="str">
            <v>$1M/$2M</v>
          </cell>
          <cell r="F28">
            <v>1985</v>
          </cell>
        </row>
        <row r="29">
          <cell r="C29">
            <v>1000</v>
          </cell>
        </row>
        <row r="31">
          <cell r="I31">
            <v>2015</v>
          </cell>
          <cell r="K31">
            <v>2015</v>
          </cell>
          <cell r="M31">
            <v>2015</v>
          </cell>
          <cell r="O31">
            <v>2015</v>
          </cell>
        </row>
        <row r="33">
          <cell r="AE33">
            <v>38.25</v>
          </cell>
        </row>
        <row r="34">
          <cell r="H34" t="str">
            <v>Yes</v>
          </cell>
          <cell r="S34" t="str">
            <v>No</v>
          </cell>
          <cell r="AE34">
            <v>1.9950000000000001</v>
          </cell>
        </row>
        <row r="35">
          <cell r="H35" t="str">
            <v>No</v>
          </cell>
          <cell r="AE35">
            <v>100</v>
          </cell>
        </row>
        <row r="36">
          <cell r="H36" t="str">
            <v>No</v>
          </cell>
          <cell r="AE36">
            <v>180</v>
          </cell>
        </row>
        <row r="37">
          <cell r="H37" t="str">
            <v>Yes</v>
          </cell>
          <cell r="AE37">
            <v>0</v>
          </cell>
        </row>
        <row r="38">
          <cell r="H38" t="str">
            <v>No</v>
          </cell>
          <cell r="AE38">
            <v>0</v>
          </cell>
        </row>
        <row r="39">
          <cell r="AE39">
            <v>35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
          <cell r="C70">
            <v>5000</v>
          </cell>
        </row>
        <row r="71">
          <cell r="C71" t="str">
            <v>Greater of 2% or AOP Deductible</v>
          </cell>
        </row>
      </sheetData>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one80.com/" TargetMode="External"/><Relationship Id="rId1" Type="http://schemas.openxmlformats.org/officeDocument/2006/relationships/hyperlink" Target="http://www.one80.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tabSelected="1" topLeftCell="A5" workbookViewId="0">
      <selection activeCell="F21" sqref="F21"/>
    </sheetView>
  </sheetViews>
  <sheetFormatPr defaultRowHeight="14.5" x14ac:dyDescent="0.35"/>
  <cols>
    <col min="1" max="1" width="21.81640625" customWidth="1"/>
    <col min="2" max="2" width="65.54296875" customWidth="1"/>
    <col min="7" max="8" width="28" bestFit="1" customWidth="1"/>
    <col min="9" max="9" width="28" customWidth="1"/>
  </cols>
  <sheetData>
    <row r="1" spans="1:10" x14ac:dyDescent="0.35">
      <c r="A1" s="86" t="s">
        <v>450</v>
      </c>
      <c r="B1" s="87" t="s">
        <v>451</v>
      </c>
    </row>
    <row r="2" spans="1:10" x14ac:dyDescent="0.35">
      <c r="A2" s="88" t="s">
        <v>444</v>
      </c>
      <c r="B2" s="89" t="s">
        <v>452</v>
      </c>
    </row>
    <row r="3" spans="1:10" x14ac:dyDescent="0.35">
      <c r="A3" s="88" t="s">
        <v>445</v>
      </c>
      <c r="B3" s="89" t="s">
        <v>453</v>
      </c>
    </row>
    <row r="4" spans="1:10" x14ac:dyDescent="0.35">
      <c r="A4" s="88" t="s">
        <v>446</v>
      </c>
      <c r="B4" s="89" t="s">
        <v>235</v>
      </c>
    </row>
    <row r="5" spans="1:10" x14ac:dyDescent="0.35">
      <c r="A5" s="88" t="s">
        <v>447</v>
      </c>
      <c r="B5" s="92">
        <v>80906</v>
      </c>
    </row>
    <row r="6" spans="1:10" x14ac:dyDescent="0.35">
      <c r="A6" s="88" t="s">
        <v>448</v>
      </c>
      <c r="B6" s="91" t="s">
        <v>455</v>
      </c>
    </row>
    <row r="7" spans="1:10" ht="15" thickBot="1" x14ac:dyDescent="0.4">
      <c r="A7" s="90" t="s">
        <v>449</v>
      </c>
      <c r="B7" s="93" t="s">
        <v>454</v>
      </c>
    </row>
    <row r="11" spans="1:10" x14ac:dyDescent="0.35">
      <c r="A11" t="s">
        <v>86</v>
      </c>
      <c r="B11" t="s">
        <v>235</v>
      </c>
      <c r="H11" t="s">
        <v>62</v>
      </c>
      <c r="I11" t="s">
        <v>88</v>
      </c>
      <c r="J11">
        <f>VLOOKUP(I11,'Pick List'!J$21:K$24,2,FALSE)</f>
        <v>1</v>
      </c>
    </row>
    <row r="12" spans="1:10" x14ac:dyDescent="0.35">
      <c r="A12" t="s">
        <v>281</v>
      </c>
      <c r="B12" t="s">
        <v>283</v>
      </c>
      <c r="H12" t="s">
        <v>63</v>
      </c>
      <c r="I12" t="s">
        <v>87</v>
      </c>
      <c r="J12">
        <f>VLOOKUP(I12,'Pick List'!J$21:K$24,2,FALSE)</f>
        <v>0.75</v>
      </c>
    </row>
    <row r="13" spans="1:10" x14ac:dyDescent="0.35">
      <c r="A13" t="s">
        <v>16</v>
      </c>
      <c r="B13" s="1">
        <v>800</v>
      </c>
      <c r="H13" t="s">
        <v>64</v>
      </c>
      <c r="I13" t="s">
        <v>88</v>
      </c>
      <c r="J13">
        <f>VLOOKUP(I13,'Pick List'!J$21:K$24,2,FALSE)</f>
        <v>1</v>
      </c>
    </row>
    <row r="14" spans="1:10" x14ac:dyDescent="0.35">
      <c r="A14" s="5" t="s">
        <v>17</v>
      </c>
      <c r="B14" s="5" t="s">
        <v>19</v>
      </c>
      <c r="C14" s="5" t="s">
        <v>18</v>
      </c>
      <c r="H14" t="s">
        <v>65</v>
      </c>
      <c r="I14" t="s">
        <v>88</v>
      </c>
      <c r="J14">
        <f>VLOOKUP(I14,'Pick List'!J$21:K$24,2,FALSE)</f>
        <v>1</v>
      </c>
    </row>
    <row r="15" spans="1:10" x14ac:dyDescent="0.35">
      <c r="A15" s="7" t="s">
        <v>7</v>
      </c>
      <c r="B15" t="str">
        <f>VLOOKUP(B12,Code!A1:B128,2,FALSE)</f>
        <v>Class I</v>
      </c>
      <c r="C15" s="7">
        <v>3</v>
      </c>
      <c r="H15" t="s">
        <v>66</v>
      </c>
      <c r="I15" t="s">
        <v>88</v>
      </c>
      <c r="J15">
        <f>VLOOKUP(I15,'Pick List'!J$21:K$24,2,FALSE)</f>
        <v>1</v>
      </c>
    </row>
    <row r="16" spans="1:10" x14ac:dyDescent="0.35">
      <c r="A16" s="7" t="s">
        <v>0</v>
      </c>
      <c r="B16" t="s">
        <v>29</v>
      </c>
      <c r="C16" s="7">
        <v>2</v>
      </c>
      <c r="H16" t="s">
        <v>67</v>
      </c>
      <c r="I16" t="s">
        <v>88</v>
      </c>
      <c r="J16">
        <f>VLOOKUP(I16,'Pick List'!J$21:K$24,2,FALSE)</f>
        <v>1</v>
      </c>
    </row>
    <row r="17" spans="1:10" x14ac:dyDescent="0.35">
      <c r="A17" s="7" t="s">
        <v>1</v>
      </c>
      <c r="B17" t="s">
        <v>37</v>
      </c>
      <c r="C17" s="7">
        <f>VLOOKUP(B17,'Pick List'!A19:B21,2,FALSE)</f>
        <v>1.1000000000000001</v>
      </c>
      <c r="H17" t="s">
        <v>68</v>
      </c>
      <c r="I17" t="s">
        <v>88</v>
      </c>
      <c r="J17">
        <f>VLOOKUP(I17,'Pick List'!J$21:K$24,2,FALSE)</f>
        <v>1</v>
      </c>
    </row>
    <row r="18" spans="1:10" ht="42" customHeight="1" x14ac:dyDescent="0.35">
      <c r="A18" s="8" t="s">
        <v>2</v>
      </c>
      <c r="B18" s="4" t="s">
        <v>38</v>
      </c>
      <c r="C18" s="8">
        <v>3</v>
      </c>
      <c r="H18" s="15" t="s">
        <v>91</v>
      </c>
      <c r="I18" s="15"/>
      <c r="J18" s="15">
        <f>J11*J12*J13*J14*J15*J16*J17</f>
        <v>0.75</v>
      </c>
    </row>
    <row r="19" spans="1:10" x14ac:dyDescent="0.35">
      <c r="A19" s="7" t="s">
        <v>3</v>
      </c>
      <c r="B19" t="s">
        <v>46</v>
      </c>
      <c r="C19" s="7">
        <f>VLOOKUP(B19,'Pick List'!F24:G26,2,FALSE)</f>
        <v>0.9</v>
      </c>
    </row>
    <row r="20" spans="1:10" x14ac:dyDescent="0.35">
      <c r="A20" s="7" t="s">
        <v>4</v>
      </c>
      <c r="B20" s="4" t="s">
        <v>49</v>
      </c>
      <c r="C20" s="7">
        <f>VLOOKUP(B20,'Pick List'!F29:G31,2,FALSE)</f>
        <v>1</v>
      </c>
      <c r="H20" t="s">
        <v>94</v>
      </c>
    </row>
    <row r="21" spans="1:10" x14ac:dyDescent="0.35">
      <c r="A21" s="7" t="s">
        <v>5</v>
      </c>
      <c r="B21" t="s">
        <v>52</v>
      </c>
      <c r="C21" s="7">
        <f>VLOOKUP(B21,'Pick List'!F33:G34,2,FALSE)</f>
        <v>0.9</v>
      </c>
      <c r="H21" t="s">
        <v>95</v>
      </c>
    </row>
    <row r="22" spans="1:10" x14ac:dyDescent="0.35">
      <c r="A22" s="7" t="s">
        <v>6</v>
      </c>
      <c r="B22" t="s">
        <v>282</v>
      </c>
      <c r="C22" s="9">
        <f>IF(J18&lt;0.5,0.5,IF(J18&gt;1.5,1.5,J18))</f>
        <v>0.75</v>
      </c>
      <c r="H22" s="96" t="s">
        <v>92</v>
      </c>
      <c r="I22" s="96"/>
      <c r="J22" s="96"/>
    </row>
    <row r="23" spans="1:10" x14ac:dyDescent="0.35">
      <c r="A23" s="7"/>
      <c r="B23" s="7" t="s">
        <v>57</v>
      </c>
      <c r="C23" s="7">
        <f>C15*C16*C17*C18*C19*C20*C21*C22</f>
        <v>12.028500000000001</v>
      </c>
      <c r="H23" t="s">
        <v>96</v>
      </c>
    </row>
    <row r="24" spans="1:10" x14ac:dyDescent="0.35">
      <c r="H24" t="s">
        <v>97</v>
      </c>
    </row>
    <row r="25" spans="1:10" x14ac:dyDescent="0.35">
      <c r="A25" t="s">
        <v>34</v>
      </c>
      <c r="B25" s="3">
        <f>VLOOKUP(B16,'Pick List'!A9:C17,3,FALSE)</f>
        <v>10000</v>
      </c>
      <c r="C25" s="95" t="s">
        <v>58</v>
      </c>
      <c r="D25" s="95"/>
      <c r="E25" s="95"/>
      <c r="F25" s="95"/>
      <c r="G25" s="95"/>
      <c r="H25" t="s">
        <v>93</v>
      </c>
    </row>
    <row r="26" spans="1:10" x14ac:dyDescent="0.35">
      <c r="A26" s="7" t="s">
        <v>59</v>
      </c>
      <c r="B26" s="3">
        <v>5000</v>
      </c>
      <c r="C26" s="95"/>
      <c r="D26" s="95"/>
      <c r="E26" s="95"/>
      <c r="F26" s="95"/>
      <c r="G26" s="95"/>
      <c r="H26" t="s">
        <v>98</v>
      </c>
    </row>
    <row r="27" spans="1:10" x14ac:dyDescent="0.35">
      <c r="B27" s="3"/>
      <c r="H27" s="96" t="s">
        <v>99</v>
      </c>
      <c r="I27" s="96"/>
      <c r="J27" s="96"/>
    </row>
    <row r="28" spans="1:10" x14ac:dyDescent="0.35">
      <c r="A28" s="5" t="s">
        <v>54</v>
      </c>
      <c r="B28" s="2"/>
      <c r="C28" s="22" t="s">
        <v>55</v>
      </c>
    </row>
    <row r="31" spans="1:10" x14ac:dyDescent="0.35">
      <c r="A31" t="s">
        <v>56</v>
      </c>
      <c r="B31" s="3">
        <v>1000000</v>
      </c>
    </row>
    <row r="33" spans="1:7" x14ac:dyDescent="0.35">
      <c r="A33" t="s">
        <v>60</v>
      </c>
      <c r="B33">
        <f>VLOOKUP('Pick List'!A41,Concatanate!F1:G315,2,FALSE)</f>
        <v>1.04</v>
      </c>
    </row>
    <row r="35" spans="1:7" x14ac:dyDescent="0.35">
      <c r="C35" t="s">
        <v>77</v>
      </c>
      <c r="D35" s="94" t="s">
        <v>78</v>
      </c>
      <c r="E35" s="94"/>
      <c r="F35" s="94"/>
      <c r="G35" s="94"/>
    </row>
    <row r="36" spans="1:7" x14ac:dyDescent="0.35">
      <c r="A36" t="s">
        <v>61</v>
      </c>
      <c r="B36" t="s">
        <v>69</v>
      </c>
      <c r="C36">
        <f>VLOOKUP(B36,'Pick List'!A44:C51,3,FALSE)</f>
        <v>1</v>
      </c>
      <c r="D36" s="94" t="str">
        <f>VLOOKUP(B36,'Pick List'!A44:B51,2,FALSE)</f>
        <v>Single Limit as shown in Cell B21</v>
      </c>
      <c r="E36" s="94"/>
      <c r="F36" s="94"/>
      <c r="G36" s="94"/>
    </row>
    <row r="38" spans="1:7" x14ac:dyDescent="0.35">
      <c r="A38" t="s">
        <v>83</v>
      </c>
      <c r="B38">
        <f>C36*B33*C23</f>
        <v>12.509640000000001</v>
      </c>
    </row>
    <row r="40" spans="1:7" x14ac:dyDescent="0.35">
      <c r="A40" t="s">
        <v>84</v>
      </c>
      <c r="B40" s="21">
        <f>B38*B13</f>
        <v>10007.712000000001</v>
      </c>
    </row>
    <row r="43" spans="1:7" x14ac:dyDescent="0.35">
      <c r="A43" s="22" t="s">
        <v>13</v>
      </c>
      <c r="B43" s="22" t="s">
        <v>85</v>
      </c>
    </row>
    <row r="44" spans="1:7" x14ac:dyDescent="0.35">
      <c r="A44" t="s">
        <v>8</v>
      </c>
      <c r="B44" t="s">
        <v>20</v>
      </c>
    </row>
    <row r="45" spans="1:7" x14ac:dyDescent="0.35">
      <c r="A45" t="s">
        <v>9</v>
      </c>
      <c r="B45" t="s">
        <v>21</v>
      </c>
    </row>
    <row r="46" spans="1:7" x14ac:dyDescent="0.35">
      <c r="A46" t="s">
        <v>10</v>
      </c>
      <c r="B46" t="s">
        <v>22</v>
      </c>
    </row>
    <row r="47" spans="1:7" x14ac:dyDescent="0.35">
      <c r="A47" t="s">
        <v>11</v>
      </c>
      <c r="B47" t="s">
        <v>23</v>
      </c>
    </row>
    <row r="48" spans="1:7" x14ac:dyDescent="0.35">
      <c r="A48" t="s">
        <v>11</v>
      </c>
      <c r="B48" t="s">
        <v>24</v>
      </c>
    </row>
  </sheetData>
  <mergeCells count="5">
    <mergeCell ref="D35:G35"/>
    <mergeCell ref="D36:G36"/>
    <mergeCell ref="C25:G26"/>
    <mergeCell ref="H22:J22"/>
    <mergeCell ref="H27:J27"/>
  </mergeCells>
  <hyperlinks>
    <hyperlink ref="B6" r:id="rId1" display="www.one80.com" xr:uid="{C400AC68-A19A-4040-9FC7-57A83C98E4ED}"/>
    <hyperlink ref="B7" r:id="rId2" xr:uid="{A1D79D1F-69F4-4C75-AFBB-7B4C02EC71FA}"/>
  </hyperlinks>
  <pageMargins left="0.7" right="0.7" top="0.75" bottom="0.75" header="0.3" footer="0.3"/>
  <pageSetup orientation="portrait"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1000000}">
          <x14:formula1>
            <xm:f>'Pick List'!$A$9:$A$17</xm:f>
          </x14:formula1>
          <xm:sqref>B16</xm:sqref>
        </x14:dataValidation>
        <x14:dataValidation type="list" allowBlank="1" showInputMessage="1" showErrorMessage="1" xr:uid="{00000000-0002-0000-0000-000002000000}">
          <x14:formula1>
            <xm:f>'Pick List'!$A$19:$A$21</xm:f>
          </x14:formula1>
          <xm:sqref>B17</xm:sqref>
        </x14:dataValidation>
        <x14:dataValidation type="list" allowBlank="1" showInputMessage="1" showErrorMessage="1" xr:uid="{00000000-0002-0000-0000-000003000000}">
          <x14:formula1>
            <xm:f>'Pick List'!$F$9:$F$16</xm:f>
          </x14:formula1>
          <xm:sqref>B18</xm:sqref>
        </x14:dataValidation>
        <x14:dataValidation type="list" allowBlank="1" showInputMessage="1" showErrorMessage="1" xr:uid="{00000000-0002-0000-0000-000004000000}">
          <x14:formula1>
            <xm:f>'Pick List'!$F$24:$F$26</xm:f>
          </x14:formula1>
          <xm:sqref>B19</xm:sqref>
        </x14:dataValidation>
        <x14:dataValidation type="list" allowBlank="1" showInputMessage="1" showErrorMessage="1" xr:uid="{00000000-0002-0000-0000-000005000000}">
          <x14:formula1>
            <xm:f>'Pick List'!$F$29:$F$31</xm:f>
          </x14:formula1>
          <xm:sqref>B20</xm:sqref>
        </x14:dataValidation>
        <x14:dataValidation type="list" allowBlank="1" showInputMessage="1" showErrorMessage="1" xr:uid="{00000000-0002-0000-0000-000006000000}">
          <x14:formula1>
            <xm:f>'Pick List'!$F$33:$F$34</xm:f>
          </x14:formula1>
          <xm:sqref>B21</xm:sqref>
        </x14:dataValidation>
        <x14:dataValidation type="list" allowBlank="1" showInputMessage="1" showErrorMessage="1" xr:uid="{00000000-0002-0000-0000-000007000000}">
          <x14:formula1>
            <xm:f>'Pick List'!$A$26:$A$30</xm:f>
          </x14:formula1>
          <xm:sqref>B31</xm:sqref>
        </x14:dataValidation>
        <x14:dataValidation type="list" allowBlank="1" showInputMessage="1" showErrorMessage="1" xr:uid="{00000000-0002-0000-0000-000008000000}">
          <x14:formula1>
            <xm:f>'Pick List'!$A$33:$A$39</xm:f>
          </x14:formula1>
          <xm:sqref>B26</xm:sqref>
        </x14:dataValidation>
        <x14:dataValidation type="list" allowBlank="1" showInputMessage="1" showErrorMessage="1" xr:uid="{00000000-0002-0000-0000-000009000000}">
          <x14:formula1>
            <xm:f>'Pick List'!$A$44:$A$51</xm:f>
          </x14:formula1>
          <xm:sqref>B36</xm:sqref>
        </x14:dataValidation>
        <x14:dataValidation type="list" allowBlank="1" showInputMessage="1" showErrorMessage="1" xr:uid="{00000000-0002-0000-0000-00000A000000}">
          <x14:formula1>
            <xm:f>'Pick List'!$J$21:$J$24</xm:f>
          </x14:formula1>
          <xm:sqref>I11:I17</xm:sqref>
        </x14:dataValidation>
        <x14:dataValidation type="list" allowBlank="1" showInputMessage="1" showErrorMessage="1" xr:uid="{6ABAFC4C-1FAA-4436-95B1-203596F768D0}">
          <x14:formula1>
            <xm:f>'Pick List'!$P$2:$P$52</xm:f>
          </x14:formula1>
          <xm:sqref>B11</xm:sqref>
        </x14:dataValidation>
        <x14:dataValidation type="list" allowBlank="1" showInputMessage="1" showErrorMessage="1" xr:uid="{218B86CD-5044-467D-A48F-0598385BA2DB}">
          <x14:formula1>
            <xm:f>Code!$A$1:$A$128</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F16B-2AA4-4CAE-AFAA-C90DE57CBE7F}">
  <dimension ref="A1:K279"/>
  <sheetViews>
    <sheetView topLeftCell="A6" workbookViewId="0">
      <selection activeCell="A17" sqref="A17:J17"/>
    </sheetView>
  </sheetViews>
  <sheetFormatPr defaultRowHeight="14.5" x14ac:dyDescent="0.35"/>
  <cols>
    <col min="1" max="1" width="13.1796875" customWidth="1"/>
    <col min="3" max="3" width="10.7265625" bestFit="1" customWidth="1"/>
    <col min="10" max="10" width="22.7265625" customWidth="1"/>
    <col min="12" max="12" width="8.81640625" customWidth="1"/>
  </cols>
  <sheetData>
    <row r="1" spans="1:11" x14ac:dyDescent="0.35">
      <c r="A1" s="29"/>
    </row>
    <row r="2" spans="1:11" x14ac:dyDescent="0.35">
      <c r="A2" s="30"/>
    </row>
    <row r="3" spans="1:11" x14ac:dyDescent="0.35">
      <c r="A3" s="31"/>
    </row>
    <row r="4" spans="1:11" x14ac:dyDescent="0.35">
      <c r="A4" s="31"/>
    </row>
    <row r="5" spans="1:11" x14ac:dyDescent="0.35">
      <c r="A5" s="31"/>
    </row>
    <row r="6" spans="1:11" x14ac:dyDescent="0.35">
      <c r="A6" s="97" t="s">
        <v>442</v>
      </c>
      <c r="B6" s="97"/>
      <c r="C6" s="97"/>
      <c r="D6" s="97"/>
      <c r="E6" s="97"/>
      <c r="F6" s="97"/>
      <c r="G6" s="97"/>
      <c r="H6" s="97"/>
      <c r="I6" s="97"/>
      <c r="J6" s="97"/>
      <c r="K6" s="32"/>
    </row>
    <row r="7" spans="1:11" x14ac:dyDescent="0.35">
      <c r="A7" s="98" t="s">
        <v>443</v>
      </c>
      <c r="B7" s="98"/>
      <c r="C7" s="98"/>
      <c r="D7" s="98"/>
      <c r="E7" s="98"/>
      <c r="F7" s="98"/>
      <c r="G7" s="98"/>
      <c r="H7" s="98"/>
      <c r="I7" s="98"/>
      <c r="J7" s="98"/>
      <c r="K7" s="33"/>
    </row>
    <row r="8" spans="1:11" x14ac:dyDescent="0.35">
      <c r="A8" s="34"/>
    </row>
    <row r="9" spans="1:11" x14ac:dyDescent="0.35">
      <c r="A9" s="31" t="s">
        <v>284</v>
      </c>
      <c r="B9" s="99" t="str">
        <f>Rater!B1</f>
        <v>TEST CLIENT</v>
      </c>
      <c r="C9" s="99"/>
      <c r="D9" s="99"/>
      <c r="E9" s="99"/>
      <c r="F9" s="99"/>
    </row>
    <row r="10" spans="1:11" ht="16.5" customHeight="1" x14ac:dyDescent="0.35">
      <c r="B10" s="100" t="str">
        <f>Rater!B2</f>
        <v>1 Main Street Suite 200</v>
      </c>
      <c r="C10" s="100"/>
      <c r="D10" s="100"/>
      <c r="E10" s="100"/>
      <c r="F10" s="100"/>
    </row>
    <row r="11" spans="1:11" x14ac:dyDescent="0.35">
      <c r="A11" t="s">
        <v>285</v>
      </c>
      <c r="B11" s="99" t="str">
        <f>Rater!B3</f>
        <v>Colorado Springs</v>
      </c>
      <c r="C11" s="99"/>
      <c r="D11" s="99"/>
      <c r="E11" s="31" t="str">
        <f>Rater!B4</f>
        <v>CO</v>
      </c>
      <c r="F11" s="35">
        <f>Rater!B5</f>
        <v>80906</v>
      </c>
    </row>
    <row r="12" spans="1:11" x14ac:dyDescent="0.35">
      <c r="A12" t="s">
        <v>285</v>
      </c>
      <c r="B12" s="31" t="s">
        <v>285</v>
      </c>
      <c r="C12" s="31"/>
      <c r="D12" s="31"/>
      <c r="E12" s="31"/>
    </row>
    <row r="13" spans="1:11" ht="16.5" customHeight="1" x14ac:dyDescent="0.35">
      <c r="A13" s="101" t="s">
        <v>286</v>
      </c>
      <c r="B13" s="101"/>
      <c r="C13" s="101"/>
      <c r="D13" s="101"/>
      <c r="E13" s="101"/>
      <c r="F13" s="101"/>
      <c r="G13" s="101"/>
      <c r="H13" s="101"/>
      <c r="I13" s="101"/>
      <c r="J13" s="101"/>
    </row>
    <row r="14" spans="1:11" ht="16.5" customHeight="1" x14ac:dyDescent="0.35">
      <c r="A14" s="101"/>
      <c r="B14" s="101"/>
      <c r="C14" s="101"/>
      <c r="D14" s="101"/>
      <c r="E14" s="101"/>
      <c r="F14" s="101"/>
      <c r="G14" s="101"/>
      <c r="H14" s="101"/>
      <c r="I14" s="101"/>
      <c r="J14" s="101"/>
    </row>
    <row r="16" spans="1:11" x14ac:dyDescent="0.35">
      <c r="A16" s="36"/>
    </row>
    <row r="17" spans="1:11" x14ac:dyDescent="0.35">
      <c r="A17" s="104" t="s">
        <v>456</v>
      </c>
      <c r="B17" s="104"/>
      <c r="C17" s="104"/>
      <c r="D17" s="104"/>
      <c r="E17" s="104"/>
      <c r="F17" s="104"/>
      <c r="G17" s="104"/>
      <c r="H17" s="104"/>
      <c r="I17" s="104"/>
      <c r="J17" s="104"/>
      <c r="K17" s="37"/>
    </row>
    <row r="18" spans="1:11" x14ac:dyDescent="0.35">
      <c r="A18" s="33"/>
    </row>
    <row r="19" spans="1:11" x14ac:dyDescent="0.35">
      <c r="A19" s="38" t="s">
        <v>287</v>
      </c>
      <c r="B19" s="105" t="s">
        <v>288</v>
      </c>
      <c r="C19" s="105"/>
      <c r="D19" s="105"/>
      <c r="E19" s="105"/>
      <c r="F19" s="105"/>
      <c r="G19" s="105"/>
      <c r="H19" s="105"/>
      <c r="I19" s="105"/>
      <c r="J19" s="105"/>
    </row>
    <row r="20" spans="1:11" x14ac:dyDescent="0.35">
      <c r="A20" s="39"/>
      <c r="B20" s="105"/>
      <c r="C20" s="105"/>
      <c r="D20" s="105"/>
      <c r="E20" s="105"/>
      <c r="F20" s="105"/>
      <c r="G20" s="105"/>
      <c r="H20" s="105"/>
      <c r="I20" s="105"/>
      <c r="J20" s="105"/>
    </row>
    <row r="21" spans="1:11" ht="7.5" customHeight="1" x14ac:dyDescent="0.35">
      <c r="A21" s="39"/>
      <c r="B21" s="40"/>
      <c r="C21" s="40"/>
      <c r="D21" s="40"/>
      <c r="E21" s="40"/>
      <c r="F21" s="40"/>
      <c r="G21" s="40"/>
      <c r="H21" s="40"/>
      <c r="I21" s="40"/>
      <c r="J21" s="40"/>
    </row>
    <row r="22" spans="1:11" x14ac:dyDescent="0.35">
      <c r="A22" s="41" t="s">
        <v>289</v>
      </c>
      <c r="B22" s="42" t="s">
        <v>290</v>
      </c>
      <c r="C22" s="25"/>
      <c r="D22" s="25"/>
      <c r="E22" s="25"/>
      <c r="F22" s="25"/>
      <c r="G22" s="25"/>
      <c r="H22" s="25"/>
      <c r="I22" s="25"/>
      <c r="J22" s="25"/>
    </row>
    <row r="23" spans="1:11" x14ac:dyDescent="0.35">
      <c r="A23" s="41"/>
      <c r="B23" s="25"/>
      <c r="C23" s="25"/>
      <c r="D23" s="25"/>
      <c r="E23" s="25"/>
      <c r="F23" s="25"/>
      <c r="G23" s="25"/>
      <c r="H23" s="25"/>
      <c r="I23" s="25"/>
      <c r="J23" s="25"/>
    </row>
    <row r="24" spans="1:11" x14ac:dyDescent="0.35">
      <c r="A24" s="41" t="s">
        <v>291</v>
      </c>
      <c r="B24" s="43" t="s">
        <v>292</v>
      </c>
      <c r="C24" s="25"/>
      <c r="D24" s="25"/>
      <c r="E24" s="25"/>
      <c r="F24" s="25"/>
      <c r="G24" s="25"/>
      <c r="H24" s="25"/>
      <c r="I24" s="25"/>
      <c r="J24" s="25"/>
    </row>
    <row r="25" spans="1:11" x14ac:dyDescent="0.35">
      <c r="A25" s="39"/>
      <c r="B25" s="25"/>
      <c r="C25" s="25"/>
      <c r="D25" s="25"/>
      <c r="E25" s="25"/>
      <c r="F25" s="25"/>
      <c r="G25" s="25"/>
      <c r="H25" s="25"/>
      <c r="I25" s="25"/>
      <c r="J25" s="25"/>
    </row>
    <row r="26" spans="1:11" x14ac:dyDescent="0.35">
      <c r="A26" s="106" t="s">
        <v>293</v>
      </c>
      <c r="B26" s="106"/>
      <c r="C26" s="107">
        <f>[1]Input!A17</f>
        <v>45231</v>
      </c>
      <c r="D26" s="107"/>
      <c r="E26" s="107"/>
      <c r="F26" s="25"/>
      <c r="G26" s="25"/>
      <c r="H26" s="25"/>
      <c r="I26" s="25"/>
      <c r="J26" s="25"/>
    </row>
    <row r="27" spans="1:11" x14ac:dyDescent="0.35">
      <c r="A27" s="39"/>
      <c r="B27" s="25"/>
      <c r="C27" s="25"/>
      <c r="D27" s="25"/>
      <c r="E27" s="25"/>
      <c r="F27" s="25"/>
      <c r="G27" s="25"/>
      <c r="H27" s="25"/>
      <c r="I27" s="25"/>
      <c r="J27" s="25"/>
    </row>
    <row r="28" spans="1:11" x14ac:dyDescent="0.35">
      <c r="A28" s="41" t="s">
        <v>294</v>
      </c>
      <c r="B28" s="25"/>
      <c r="C28" s="41" t="s">
        <v>295</v>
      </c>
      <c r="D28" s="25"/>
      <c r="E28" s="25"/>
      <c r="F28" s="25"/>
      <c r="G28" s="25"/>
      <c r="H28" s="25"/>
      <c r="I28" s="25"/>
      <c r="J28" s="25"/>
    </row>
    <row r="29" spans="1:11" x14ac:dyDescent="0.35">
      <c r="A29" s="25"/>
      <c r="B29" s="25"/>
      <c r="C29" s="41" t="s">
        <v>296</v>
      </c>
      <c r="D29" s="25"/>
      <c r="E29" s="25"/>
      <c r="F29" s="25"/>
      <c r="G29" s="25"/>
      <c r="H29" s="25"/>
      <c r="I29" s="25"/>
      <c r="J29" s="25"/>
    </row>
    <row r="30" spans="1:11" x14ac:dyDescent="0.35">
      <c r="A30" s="41" t="s">
        <v>297</v>
      </c>
      <c r="B30" s="25"/>
      <c r="C30" s="25"/>
      <c r="D30" s="25"/>
      <c r="E30" s="25"/>
      <c r="F30" s="25"/>
      <c r="G30" s="25"/>
      <c r="H30" s="25"/>
      <c r="I30" s="25"/>
      <c r="J30" s="25"/>
    </row>
    <row r="31" spans="1:11" x14ac:dyDescent="0.35">
      <c r="A31" s="25"/>
      <c r="B31" s="39" t="s">
        <v>298</v>
      </c>
      <c r="C31" s="44">
        <f>Coverage_A</f>
        <v>100000</v>
      </c>
      <c r="D31" s="25"/>
      <c r="E31" s="25"/>
      <c r="F31" s="25"/>
      <c r="G31" s="25"/>
      <c r="H31" s="25"/>
      <c r="I31" s="25"/>
      <c r="J31" s="25"/>
    </row>
    <row r="32" spans="1:11" x14ac:dyDescent="0.35">
      <c r="B32" s="39" t="s">
        <v>299</v>
      </c>
      <c r="C32" s="44">
        <f>Coverage_B</f>
        <v>10000</v>
      </c>
      <c r="D32" s="25"/>
      <c r="E32" s="25"/>
      <c r="F32" s="25"/>
      <c r="G32" s="25"/>
      <c r="H32" s="25"/>
      <c r="I32" s="25"/>
      <c r="J32" s="25"/>
    </row>
    <row r="33" spans="1:10" x14ac:dyDescent="0.35">
      <c r="A33" s="25"/>
      <c r="B33" s="39" t="s">
        <v>300</v>
      </c>
      <c r="C33" s="44">
        <f>Coverage_C</f>
        <v>25000</v>
      </c>
      <c r="D33" s="25"/>
      <c r="E33" s="25"/>
      <c r="F33" s="25"/>
      <c r="G33" s="25"/>
      <c r="H33" s="25"/>
      <c r="I33" s="25"/>
      <c r="J33" s="25"/>
    </row>
    <row r="34" spans="1:10" x14ac:dyDescent="0.35">
      <c r="A34" s="25"/>
      <c r="B34" s="39" t="s">
        <v>301</v>
      </c>
      <c r="C34" s="44">
        <f>Coverage_D</f>
        <v>50000</v>
      </c>
      <c r="D34" s="25"/>
      <c r="E34" s="25"/>
      <c r="F34" s="25"/>
      <c r="G34" s="25"/>
      <c r="H34" s="25"/>
      <c r="I34" s="25"/>
      <c r="J34" s="25"/>
    </row>
    <row r="35" spans="1:10" x14ac:dyDescent="0.35">
      <c r="A35" s="25"/>
      <c r="B35" s="39" t="s">
        <v>302</v>
      </c>
      <c r="C35" s="44" t="str">
        <f>Coverage_Liability</f>
        <v>$1M/$2M</v>
      </c>
      <c r="D35" s="25"/>
      <c r="E35" s="25"/>
      <c r="F35" s="25"/>
      <c r="G35" s="25"/>
      <c r="H35" s="25"/>
      <c r="I35" s="25"/>
      <c r="J35" s="25"/>
    </row>
    <row r="36" spans="1:10" x14ac:dyDescent="0.35">
      <c r="A36" s="25"/>
      <c r="B36" s="39" t="s">
        <v>303</v>
      </c>
      <c r="C36" s="44">
        <f>Coverage_Medical</f>
        <v>1000</v>
      </c>
      <c r="D36" s="25"/>
      <c r="E36" s="25"/>
      <c r="F36" s="25"/>
      <c r="G36" s="25"/>
      <c r="H36" s="25"/>
      <c r="I36" s="25"/>
      <c r="J36" s="25"/>
    </row>
    <row r="37" spans="1:10" x14ac:dyDescent="0.35">
      <c r="A37" s="39"/>
      <c r="B37" s="25"/>
      <c r="C37" s="25"/>
      <c r="D37" s="25"/>
      <c r="E37" s="25"/>
      <c r="F37" s="25"/>
      <c r="G37" s="25"/>
      <c r="H37" s="25"/>
      <c r="I37" s="25"/>
      <c r="J37" s="25"/>
    </row>
    <row r="38" spans="1:10" x14ac:dyDescent="0.35">
      <c r="A38" s="39" t="s">
        <v>304</v>
      </c>
      <c r="B38" s="39">
        <f>[1]Data!C70</f>
        <v>5000</v>
      </c>
      <c r="C38" s="25"/>
      <c r="D38" s="25"/>
      <c r="E38" s="25"/>
      <c r="F38" s="25"/>
      <c r="G38" s="25"/>
      <c r="H38" s="25"/>
      <c r="I38" s="25"/>
      <c r="J38" s="25"/>
    </row>
    <row r="39" spans="1:10" x14ac:dyDescent="0.35">
      <c r="A39" s="39" t="s">
        <v>305</v>
      </c>
      <c r="B39" s="39" t="str">
        <f>[1]Data!C71</f>
        <v>Greater of 2% or AOP Deductible</v>
      </c>
      <c r="C39" s="25"/>
      <c r="D39" s="25"/>
      <c r="E39" s="25"/>
      <c r="F39" s="25"/>
      <c r="G39" s="25"/>
      <c r="H39" s="25"/>
      <c r="I39" s="25"/>
      <c r="J39" s="25"/>
    </row>
    <row r="40" spans="1:10" x14ac:dyDescent="0.35">
      <c r="A40" s="39" t="s">
        <v>306</v>
      </c>
      <c r="B40" s="25" t="s">
        <v>307</v>
      </c>
      <c r="C40" s="25"/>
      <c r="D40" s="25"/>
      <c r="E40" s="25"/>
      <c r="F40" s="25"/>
      <c r="G40" s="25"/>
      <c r="H40" s="25"/>
      <c r="I40" s="25"/>
      <c r="J40" s="25"/>
    </row>
    <row r="41" spans="1:10" x14ac:dyDescent="0.35">
      <c r="A41" s="39" t="s">
        <v>308</v>
      </c>
      <c r="B41" s="25" t="s">
        <v>307</v>
      </c>
      <c r="C41" s="25"/>
      <c r="D41" s="25"/>
      <c r="E41" s="25"/>
      <c r="F41" s="25"/>
      <c r="G41" s="25"/>
      <c r="H41" s="25"/>
      <c r="I41" s="25"/>
      <c r="J41" s="25"/>
    </row>
    <row r="42" spans="1:10" x14ac:dyDescent="0.35">
      <c r="A42" s="108" t="s">
        <v>309</v>
      </c>
      <c r="B42" s="108"/>
      <c r="C42" s="25" t="s">
        <v>310</v>
      </c>
      <c r="D42" s="25"/>
      <c r="E42" s="25"/>
      <c r="F42" s="25"/>
      <c r="G42" s="25"/>
      <c r="H42" s="25"/>
      <c r="I42" s="25"/>
      <c r="J42" s="25"/>
    </row>
    <row r="43" spans="1:10" x14ac:dyDescent="0.35">
      <c r="A43" s="106" t="s">
        <v>311</v>
      </c>
      <c r="B43" s="106"/>
      <c r="C43" s="106"/>
      <c r="D43" s="106"/>
      <c r="E43" s="106"/>
      <c r="F43" s="106"/>
      <c r="G43" s="106"/>
      <c r="H43" s="106"/>
      <c r="I43" s="106"/>
      <c r="J43" s="106"/>
    </row>
    <row r="44" spans="1:10" x14ac:dyDescent="0.35">
      <c r="A44" s="102" t="s">
        <v>312</v>
      </c>
      <c r="B44" s="102"/>
      <c r="C44" s="102"/>
      <c r="D44" s="102"/>
      <c r="E44" s="102"/>
      <c r="F44" s="102"/>
      <c r="G44" s="102"/>
      <c r="H44" s="102"/>
      <c r="I44" s="102"/>
      <c r="J44" s="102"/>
    </row>
    <row r="45" spans="1:10" x14ac:dyDescent="0.35">
      <c r="A45" s="102"/>
      <c r="B45" s="102"/>
      <c r="C45" s="102"/>
      <c r="D45" s="102"/>
      <c r="E45" s="102"/>
      <c r="F45" s="102"/>
      <c r="G45" s="102"/>
      <c r="H45" s="102"/>
      <c r="I45" s="102"/>
      <c r="J45" s="102"/>
    </row>
    <row r="46" spans="1:10" ht="16.5" customHeight="1" x14ac:dyDescent="0.35">
      <c r="A46" s="102"/>
      <c r="B46" s="102"/>
      <c r="C46" s="102"/>
      <c r="D46" s="102"/>
      <c r="E46" s="102"/>
      <c r="F46" s="102"/>
      <c r="G46" s="102"/>
      <c r="H46" s="102"/>
      <c r="I46" s="102"/>
      <c r="J46" s="102"/>
    </row>
    <row r="47" spans="1:10" x14ac:dyDescent="0.35">
      <c r="A47" s="45"/>
      <c r="B47" s="46"/>
    </row>
    <row r="48" spans="1:10" x14ac:dyDescent="0.35">
      <c r="A48" s="103" t="s">
        <v>313</v>
      </c>
      <c r="B48" s="103"/>
      <c r="C48" s="47">
        <f>Premium_Property</f>
        <v>835</v>
      </c>
    </row>
    <row r="49" spans="1:4" x14ac:dyDescent="0.35">
      <c r="A49" s="103" t="s">
        <v>314</v>
      </c>
      <c r="B49" s="103"/>
      <c r="C49" s="47">
        <f>Premium_Liability</f>
        <v>125</v>
      </c>
    </row>
    <row r="50" spans="1:4" x14ac:dyDescent="0.35">
      <c r="A50" s="103" t="s">
        <v>315</v>
      </c>
      <c r="B50" s="103"/>
      <c r="C50" s="48">
        <f>[1]Input!AE33</f>
        <v>38.25</v>
      </c>
      <c r="D50" s="49"/>
    </row>
    <row r="51" spans="1:4" x14ac:dyDescent="0.35">
      <c r="A51" s="103" t="s">
        <v>316</v>
      </c>
      <c r="B51" s="103"/>
      <c r="C51" s="48">
        <f>[1]Input!AE34</f>
        <v>1.9950000000000001</v>
      </c>
      <c r="D51" s="49"/>
    </row>
    <row r="52" spans="1:4" x14ac:dyDescent="0.35">
      <c r="A52" s="103" t="s">
        <v>317</v>
      </c>
      <c r="B52" s="103"/>
      <c r="C52" s="48">
        <f>[1]Input!AE35</f>
        <v>100</v>
      </c>
      <c r="D52" s="49"/>
    </row>
    <row r="53" spans="1:4" x14ac:dyDescent="0.35">
      <c r="A53" s="103" t="s">
        <v>318</v>
      </c>
      <c r="B53" s="103"/>
      <c r="C53" s="48">
        <f>[1]Input!AE36</f>
        <v>180</v>
      </c>
      <c r="D53" s="49"/>
    </row>
    <row r="54" spans="1:4" x14ac:dyDescent="0.35">
      <c r="A54" s="103" t="s">
        <v>319</v>
      </c>
      <c r="B54" s="103"/>
      <c r="C54" s="48">
        <f>[1]Input!AE37</f>
        <v>0</v>
      </c>
      <c r="D54" s="49"/>
    </row>
    <row r="55" spans="1:4" x14ac:dyDescent="0.35">
      <c r="A55" s="103" t="s">
        <v>320</v>
      </c>
      <c r="B55" s="103"/>
      <c r="C55" s="48">
        <f>[1]Input!AE38</f>
        <v>0</v>
      </c>
      <c r="D55" s="49"/>
    </row>
    <row r="56" spans="1:4" x14ac:dyDescent="0.35">
      <c r="A56" s="103" t="s">
        <v>321</v>
      </c>
      <c r="B56" s="103"/>
      <c r="C56" s="48">
        <f>[1]Input!AE39</f>
        <v>35</v>
      </c>
      <c r="D56" s="49"/>
    </row>
    <row r="57" spans="1:4" x14ac:dyDescent="0.35">
      <c r="A57" s="103" t="s">
        <v>322</v>
      </c>
      <c r="B57" s="103"/>
      <c r="C57" s="21">
        <f>SUM(C48:C56)</f>
        <v>1315.2449999999999</v>
      </c>
    </row>
    <row r="58" spans="1:4" x14ac:dyDescent="0.35">
      <c r="A58" s="50" t="s">
        <v>323</v>
      </c>
    </row>
    <row r="59" spans="1:4" x14ac:dyDescent="0.35">
      <c r="A59" s="51" t="s">
        <v>324</v>
      </c>
    </row>
    <row r="60" spans="1:4" x14ac:dyDescent="0.35">
      <c r="A60" s="51" t="s">
        <v>325</v>
      </c>
    </row>
    <row r="61" spans="1:4" x14ac:dyDescent="0.35">
      <c r="A61" s="51" t="s">
        <v>326</v>
      </c>
    </row>
    <row r="62" spans="1:4" x14ac:dyDescent="0.35">
      <c r="A62" s="51" t="s">
        <v>327</v>
      </c>
    </row>
    <row r="63" spans="1:4" x14ac:dyDescent="0.35">
      <c r="A63" s="51" t="s">
        <v>328</v>
      </c>
    </row>
    <row r="64" spans="1:4" x14ac:dyDescent="0.35">
      <c r="A64" s="51" t="s">
        <v>329</v>
      </c>
    </row>
    <row r="65" spans="1:4" x14ac:dyDescent="0.35">
      <c r="A65" s="51" t="s">
        <v>330</v>
      </c>
    </row>
    <row r="66" spans="1:4" x14ac:dyDescent="0.35">
      <c r="A66" s="51" t="s">
        <v>331</v>
      </c>
    </row>
    <row r="67" spans="1:4" x14ac:dyDescent="0.35">
      <c r="A67" s="51" t="s">
        <v>332</v>
      </c>
    </row>
    <row r="68" spans="1:4" x14ac:dyDescent="0.35">
      <c r="A68" s="51" t="s">
        <v>333</v>
      </c>
    </row>
    <row r="69" spans="1:4" x14ac:dyDescent="0.35">
      <c r="A69" s="51" t="s">
        <v>334</v>
      </c>
    </row>
    <row r="70" spans="1:4" x14ac:dyDescent="0.35">
      <c r="A70" s="51" t="s">
        <v>335</v>
      </c>
    </row>
    <row r="71" spans="1:4" x14ac:dyDescent="0.35">
      <c r="A71" s="51" t="s">
        <v>336</v>
      </c>
    </row>
    <row r="72" spans="1:4" x14ac:dyDescent="0.35">
      <c r="A72" s="51" t="s">
        <v>337</v>
      </c>
    </row>
    <row r="73" spans="1:4" x14ac:dyDescent="0.35">
      <c r="A73" s="51" t="s">
        <v>338</v>
      </c>
    </row>
    <row r="74" spans="1:4" x14ac:dyDescent="0.35">
      <c r="A74" s="51" t="s">
        <v>339</v>
      </c>
    </row>
    <row r="75" spans="1:4" x14ac:dyDescent="0.35">
      <c r="A75" s="51" t="s">
        <v>340</v>
      </c>
    </row>
    <row r="76" spans="1:4" x14ac:dyDescent="0.35">
      <c r="A76" s="52"/>
    </row>
    <row r="77" spans="1:4" x14ac:dyDescent="0.35">
      <c r="A77" s="53" t="s">
        <v>341</v>
      </c>
      <c r="B77" s="54"/>
      <c r="C77" s="54"/>
      <c r="D77" s="55"/>
    </row>
    <row r="78" spans="1:4" x14ac:dyDescent="0.35">
      <c r="A78" s="56">
        <v>1</v>
      </c>
      <c r="B78" t="s">
        <v>342</v>
      </c>
    </row>
    <row r="79" spans="1:4" x14ac:dyDescent="0.35">
      <c r="B79" s="22" t="s">
        <v>343</v>
      </c>
    </row>
    <row r="80" spans="1:4" x14ac:dyDescent="0.35">
      <c r="A80" s="56">
        <v>2</v>
      </c>
      <c r="B80" t="s">
        <v>344</v>
      </c>
    </row>
    <row r="81" spans="1:10" x14ac:dyDescent="0.35">
      <c r="A81" s="56">
        <v>3</v>
      </c>
      <c r="B81" t="s">
        <v>345</v>
      </c>
    </row>
    <row r="82" spans="1:10" x14ac:dyDescent="0.35">
      <c r="A82" s="56">
        <v>4</v>
      </c>
      <c r="B82" t="s">
        <v>346</v>
      </c>
    </row>
    <row r="83" spans="1:10" x14ac:dyDescent="0.35">
      <c r="A83" s="56">
        <v>5</v>
      </c>
      <c r="B83" s="22" t="s">
        <v>347</v>
      </c>
    </row>
    <row r="84" spans="1:10" ht="16.5" customHeight="1" x14ac:dyDescent="0.35">
      <c r="A84" s="56">
        <v>6</v>
      </c>
      <c r="B84" s="109" t="s">
        <v>348</v>
      </c>
      <c r="C84" s="109"/>
      <c r="D84" s="109"/>
      <c r="E84" s="109"/>
      <c r="F84" s="109"/>
      <c r="G84" s="109"/>
      <c r="H84" s="109"/>
      <c r="I84" s="109"/>
      <c r="J84" s="109"/>
    </row>
    <row r="85" spans="1:10" ht="16.5" customHeight="1" x14ac:dyDescent="0.35">
      <c r="A85" s="57"/>
      <c r="B85" s="109"/>
      <c r="C85" s="109"/>
      <c r="D85" s="109"/>
      <c r="E85" s="109"/>
      <c r="F85" s="109"/>
      <c r="G85" s="109"/>
      <c r="H85" s="109"/>
      <c r="I85" s="109"/>
      <c r="J85" s="109"/>
    </row>
    <row r="86" spans="1:10" x14ac:dyDescent="0.35">
      <c r="A86" s="31">
        <v>7</v>
      </c>
      <c r="B86" s="109" t="s">
        <v>349</v>
      </c>
      <c r="C86" s="109"/>
      <c r="D86" s="109"/>
      <c r="E86" s="109"/>
      <c r="F86" s="109"/>
      <c r="G86" s="109"/>
      <c r="H86" s="109"/>
      <c r="I86" s="109"/>
      <c r="J86" s="109"/>
    </row>
    <row r="87" spans="1:10" ht="27" customHeight="1" x14ac:dyDescent="0.35">
      <c r="A87" s="58"/>
      <c r="B87" s="109"/>
      <c r="C87" s="109"/>
      <c r="D87" s="109"/>
      <c r="E87" s="109"/>
      <c r="F87" s="109"/>
      <c r="G87" s="109"/>
      <c r="H87" s="109"/>
      <c r="I87" s="109"/>
      <c r="J87" s="109"/>
    </row>
    <row r="88" spans="1:10" x14ac:dyDescent="0.35">
      <c r="A88" s="31">
        <v>8</v>
      </c>
      <c r="B88" s="109" t="s">
        <v>350</v>
      </c>
      <c r="C88" s="109"/>
      <c r="D88" s="109"/>
      <c r="E88" s="109"/>
      <c r="F88" s="109"/>
      <c r="G88" s="109"/>
      <c r="H88" s="109"/>
      <c r="I88" s="109"/>
      <c r="J88" s="109"/>
    </row>
    <row r="89" spans="1:10" x14ac:dyDescent="0.35">
      <c r="A89" s="58"/>
      <c r="B89" s="109"/>
      <c r="C89" s="109"/>
      <c r="D89" s="109"/>
      <c r="E89" s="109"/>
      <c r="F89" s="109"/>
      <c r="G89" s="109"/>
      <c r="H89" s="109"/>
      <c r="I89" s="109"/>
      <c r="J89" s="109"/>
    </row>
    <row r="90" spans="1:10" x14ac:dyDescent="0.35">
      <c r="A90" s="31">
        <v>9</v>
      </c>
      <c r="B90" t="s">
        <v>351</v>
      </c>
    </row>
    <row r="91" spans="1:10" x14ac:dyDescent="0.35">
      <c r="A91" s="58"/>
    </row>
    <row r="92" spans="1:10" ht="33.75" customHeight="1" x14ac:dyDescent="0.35">
      <c r="A92" s="102" t="s">
        <v>352</v>
      </c>
      <c r="B92" s="110"/>
      <c r="C92" s="110"/>
      <c r="D92" s="110"/>
      <c r="E92" s="110"/>
      <c r="F92" s="110"/>
      <c r="G92" s="110"/>
      <c r="H92" s="110"/>
      <c r="I92" s="110"/>
      <c r="J92" s="110"/>
    </row>
    <row r="93" spans="1:10" x14ac:dyDescent="0.35">
      <c r="A93" s="58"/>
    </row>
    <row r="94" spans="1:10" x14ac:dyDescent="0.35">
      <c r="A94" s="104" t="s">
        <v>353</v>
      </c>
      <c r="B94" s="104"/>
      <c r="C94" s="104"/>
      <c r="D94" s="104"/>
      <c r="E94" s="104"/>
      <c r="F94" s="104"/>
      <c r="G94" s="104"/>
      <c r="H94" s="104"/>
      <c r="I94" s="104"/>
      <c r="J94" s="104"/>
    </row>
    <row r="95" spans="1:10" x14ac:dyDescent="0.35">
      <c r="A95" s="41"/>
    </row>
    <row r="96" spans="1:10" ht="16.5" customHeight="1" x14ac:dyDescent="0.35">
      <c r="A96" s="59">
        <v>1</v>
      </c>
      <c r="B96" s="109" t="s">
        <v>354</v>
      </c>
      <c r="C96" s="109"/>
      <c r="D96" s="109"/>
      <c r="E96" s="109"/>
      <c r="F96" s="109"/>
      <c r="G96" s="109"/>
      <c r="H96" s="109"/>
      <c r="I96" s="109"/>
      <c r="J96" s="109"/>
    </row>
    <row r="97" spans="1:10" x14ac:dyDescent="0.35">
      <c r="A97" s="59"/>
      <c r="B97" s="109"/>
      <c r="C97" s="109"/>
      <c r="D97" s="109"/>
      <c r="E97" s="109"/>
      <c r="F97" s="109"/>
      <c r="G97" s="109"/>
      <c r="H97" s="109"/>
      <c r="I97" s="109"/>
      <c r="J97" s="109"/>
    </row>
    <row r="98" spans="1:10" x14ac:dyDescent="0.35">
      <c r="A98" s="59"/>
      <c r="B98" s="109"/>
      <c r="C98" s="109"/>
      <c r="D98" s="109"/>
      <c r="E98" s="109"/>
      <c r="F98" s="109"/>
      <c r="G98" s="109"/>
      <c r="H98" s="109"/>
      <c r="I98" s="109"/>
      <c r="J98" s="109"/>
    </row>
    <row r="99" spans="1:10" x14ac:dyDescent="0.35">
      <c r="A99" s="59"/>
      <c r="B99" s="109"/>
      <c r="C99" s="109"/>
      <c r="D99" s="109"/>
      <c r="E99" s="109"/>
      <c r="F99" s="109"/>
      <c r="G99" s="109"/>
      <c r="H99" s="109"/>
      <c r="I99" s="109"/>
      <c r="J99" s="109"/>
    </row>
    <row r="100" spans="1:10" x14ac:dyDescent="0.35">
      <c r="A100" s="59"/>
      <c r="B100" s="109"/>
      <c r="C100" s="109"/>
      <c r="D100" s="109"/>
      <c r="E100" s="109"/>
      <c r="F100" s="109"/>
      <c r="G100" s="109"/>
      <c r="H100" s="109"/>
      <c r="I100" s="109"/>
      <c r="J100" s="109"/>
    </row>
    <row r="101" spans="1:10" x14ac:dyDescent="0.35">
      <c r="A101" s="59"/>
      <c r="B101" s="28"/>
      <c r="C101" s="28"/>
      <c r="D101" s="28"/>
      <c r="E101" s="28"/>
      <c r="F101" s="28"/>
      <c r="G101" s="28"/>
      <c r="H101" s="28"/>
      <c r="I101" s="28"/>
      <c r="J101" s="28"/>
    </row>
    <row r="102" spans="1:10" ht="15" customHeight="1" x14ac:dyDescent="0.35">
      <c r="A102" s="59">
        <v>2</v>
      </c>
      <c r="B102" s="109" t="s">
        <v>355</v>
      </c>
      <c r="C102" s="109"/>
      <c r="D102" s="109"/>
      <c r="E102" s="109"/>
      <c r="F102" s="109"/>
      <c r="G102" s="109"/>
      <c r="H102" s="109"/>
      <c r="I102" s="109"/>
      <c r="J102" s="109"/>
    </row>
    <row r="103" spans="1:10" x14ac:dyDescent="0.35">
      <c r="A103" s="59"/>
      <c r="B103" s="109"/>
      <c r="C103" s="109"/>
      <c r="D103" s="109"/>
      <c r="E103" s="109"/>
      <c r="F103" s="109"/>
      <c r="G103" s="109"/>
      <c r="H103" s="109"/>
      <c r="I103" s="109"/>
      <c r="J103" s="109"/>
    </row>
    <row r="104" spans="1:10" x14ac:dyDescent="0.35">
      <c r="A104" s="59"/>
      <c r="B104" s="109"/>
      <c r="C104" s="109"/>
      <c r="D104" s="109"/>
      <c r="E104" s="109"/>
      <c r="F104" s="109"/>
      <c r="G104" s="109"/>
      <c r="H104" s="109"/>
      <c r="I104" s="109"/>
      <c r="J104" s="109"/>
    </row>
    <row r="105" spans="1:10" x14ac:dyDescent="0.35">
      <c r="A105" s="59"/>
    </row>
    <row r="106" spans="1:10" ht="16.5" customHeight="1" x14ac:dyDescent="0.35">
      <c r="A106" s="59">
        <v>3</v>
      </c>
      <c r="B106" s="109" t="s">
        <v>356</v>
      </c>
      <c r="C106" s="109"/>
      <c r="D106" s="109"/>
      <c r="E106" s="109"/>
      <c r="F106" s="109"/>
      <c r="G106" s="109"/>
      <c r="H106" s="109"/>
      <c r="I106" s="109"/>
      <c r="J106" s="109"/>
    </row>
    <row r="107" spans="1:10" x14ac:dyDescent="0.35">
      <c r="A107" s="59"/>
      <c r="B107" s="109"/>
      <c r="C107" s="109"/>
      <c r="D107" s="109"/>
      <c r="E107" s="109"/>
      <c r="F107" s="109"/>
      <c r="G107" s="109"/>
      <c r="H107" s="109"/>
      <c r="I107" s="109"/>
      <c r="J107" s="109"/>
    </row>
    <row r="108" spans="1:10" x14ac:dyDescent="0.35">
      <c r="A108" s="59"/>
      <c r="B108" s="109"/>
      <c r="C108" s="109"/>
      <c r="D108" s="109"/>
      <c r="E108" s="109"/>
      <c r="F108" s="109"/>
      <c r="G108" s="109"/>
      <c r="H108" s="109"/>
      <c r="I108" s="109"/>
      <c r="J108" s="109"/>
    </row>
    <row r="109" spans="1:10" x14ac:dyDescent="0.35">
      <c r="A109" s="59"/>
      <c r="B109" s="60"/>
      <c r="C109" s="60"/>
      <c r="D109" s="60"/>
      <c r="E109" s="60"/>
      <c r="F109" s="60"/>
      <c r="G109" s="60"/>
      <c r="H109" s="60"/>
      <c r="I109" s="60"/>
      <c r="J109" s="60"/>
    </row>
    <row r="110" spans="1:10" x14ac:dyDescent="0.35">
      <c r="A110" s="59">
        <v>4</v>
      </c>
      <c r="B110" s="109" t="s">
        <v>357</v>
      </c>
      <c r="C110" s="109"/>
      <c r="D110" s="109"/>
      <c r="E110" s="109"/>
      <c r="F110" s="109"/>
      <c r="G110" s="109"/>
      <c r="H110" s="109"/>
      <c r="I110" s="109"/>
      <c r="J110" s="109"/>
    </row>
    <row r="111" spans="1:10" x14ac:dyDescent="0.35">
      <c r="A111" s="59"/>
      <c r="B111" s="109"/>
      <c r="C111" s="109"/>
      <c r="D111" s="109"/>
      <c r="E111" s="109"/>
      <c r="F111" s="109"/>
      <c r="G111" s="109"/>
      <c r="H111" s="109"/>
      <c r="I111" s="109"/>
      <c r="J111" s="109"/>
    </row>
    <row r="112" spans="1:10" x14ac:dyDescent="0.35">
      <c r="A112" s="59"/>
    </row>
    <row r="113" spans="1:10" x14ac:dyDescent="0.35">
      <c r="A113" s="59">
        <v>5</v>
      </c>
      <c r="B113" s="119" t="s">
        <v>358</v>
      </c>
      <c r="C113" s="119"/>
      <c r="D113" s="119"/>
      <c r="E113" s="119"/>
      <c r="F113" s="119"/>
      <c r="G113" s="119"/>
      <c r="H113" s="119"/>
      <c r="I113" s="119"/>
      <c r="J113" s="119"/>
    </row>
    <row r="114" spans="1:10" x14ac:dyDescent="0.35">
      <c r="A114" s="59"/>
      <c r="B114" s="119"/>
      <c r="C114" s="119"/>
      <c r="D114" s="119"/>
      <c r="E114" s="119"/>
      <c r="F114" s="119"/>
      <c r="G114" s="119"/>
      <c r="H114" s="119"/>
      <c r="I114" s="119"/>
      <c r="J114" s="119"/>
    </row>
    <row r="115" spans="1:10" x14ac:dyDescent="0.35">
      <c r="A115" s="39"/>
    </row>
    <row r="116" spans="1:10" x14ac:dyDescent="0.35">
      <c r="A116" s="39"/>
    </row>
    <row r="119" spans="1:10" x14ac:dyDescent="0.35">
      <c r="A119" s="120" t="s">
        <v>359</v>
      </c>
      <c r="B119" s="120"/>
      <c r="C119" s="120"/>
      <c r="D119" s="120"/>
      <c r="E119" s="120"/>
      <c r="G119" s="121" t="s">
        <v>360</v>
      </c>
      <c r="H119" s="121"/>
    </row>
    <row r="120" spans="1:10" x14ac:dyDescent="0.35">
      <c r="A120" s="39"/>
    </row>
    <row r="121" spans="1:10" x14ac:dyDescent="0.35">
      <c r="A121" s="39"/>
    </row>
    <row r="122" spans="1:10" x14ac:dyDescent="0.35">
      <c r="A122" s="52"/>
    </row>
    <row r="123" spans="1:10" x14ac:dyDescent="0.35">
      <c r="A123" s="120" t="s">
        <v>361</v>
      </c>
      <c r="B123" s="120"/>
      <c r="C123" s="120"/>
      <c r="D123" s="120"/>
      <c r="E123" s="120"/>
      <c r="G123" s="121" t="s">
        <v>362</v>
      </c>
      <c r="H123" s="121"/>
    </row>
    <row r="124" spans="1:10" x14ac:dyDescent="0.35">
      <c r="A124" s="52"/>
    </row>
    <row r="126" spans="1:10" x14ac:dyDescent="0.35">
      <c r="A126" s="31"/>
    </row>
    <row r="127" spans="1:10" ht="15" x14ac:dyDescent="0.35">
      <c r="A127" s="111" t="s">
        <v>363</v>
      </c>
      <c r="B127" s="111"/>
      <c r="C127" s="111"/>
      <c r="D127" s="111"/>
      <c r="E127" s="111"/>
      <c r="F127" s="111"/>
      <c r="G127" s="111"/>
      <c r="H127" s="111"/>
      <c r="I127" s="111"/>
      <c r="J127" s="111"/>
    </row>
    <row r="128" spans="1:10" ht="17.25" customHeight="1" thickBot="1" x14ac:dyDescent="0.4"/>
    <row r="129" spans="1:7" ht="15" customHeight="1" x14ac:dyDescent="0.35">
      <c r="A129" s="112" t="s">
        <v>364</v>
      </c>
      <c r="B129" s="113"/>
      <c r="C129" s="113"/>
      <c r="D129" s="113">
        <f>[1]Input!D7</f>
        <v>0</v>
      </c>
      <c r="E129" s="113"/>
      <c r="F129" s="113"/>
      <c r="G129" s="114"/>
    </row>
    <row r="130" spans="1:7" x14ac:dyDescent="0.35">
      <c r="A130" s="115" t="s">
        <v>365</v>
      </c>
      <c r="B130" s="116"/>
      <c r="C130" s="116"/>
      <c r="D130" s="117">
        <f>[1]Input!O7</f>
        <v>0</v>
      </c>
      <c r="E130" s="117"/>
      <c r="F130" s="117"/>
      <c r="G130" s="118"/>
    </row>
    <row r="131" spans="1:7" x14ac:dyDescent="0.35">
      <c r="A131" s="115" t="s">
        <v>366</v>
      </c>
      <c r="B131" s="116"/>
      <c r="C131" s="116"/>
      <c r="D131" s="117">
        <f>[1]Input!M8</f>
        <v>0</v>
      </c>
      <c r="E131" s="117"/>
      <c r="F131" s="117"/>
      <c r="G131" s="118"/>
    </row>
    <row r="132" spans="1:7" x14ac:dyDescent="0.35">
      <c r="A132" s="115" t="s">
        <v>367</v>
      </c>
      <c r="B132" s="116"/>
      <c r="C132" s="116"/>
      <c r="D132" s="117" t="str">
        <f>[1]Input!M9</f>
        <v xml:space="preserve">El Paso  </v>
      </c>
      <c r="E132" s="117"/>
      <c r="F132" s="117"/>
      <c r="G132" s="118"/>
    </row>
    <row r="133" spans="1:7" x14ac:dyDescent="0.35">
      <c r="A133" s="115" t="s">
        <v>368</v>
      </c>
      <c r="B133" s="116"/>
      <c r="C133" s="116"/>
      <c r="D133" s="117" t="str">
        <f>[1]Input!S8</f>
        <v>CO</v>
      </c>
      <c r="E133" s="117"/>
      <c r="F133" s="117"/>
      <c r="G133" s="118"/>
    </row>
    <row r="134" spans="1:7" x14ac:dyDescent="0.35">
      <c r="A134" s="115" t="s">
        <v>369</v>
      </c>
      <c r="B134" s="116"/>
      <c r="C134" s="116"/>
      <c r="D134" s="122">
        <f>[1]Input!U8</f>
        <v>80905</v>
      </c>
      <c r="E134" s="122"/>
      <c r="F134" s="122"/>
      <c r="G134" s="123"/>
    </row>
    <row r="135" spans="1:7" ht="15" customHeight="1" x14ac:dyDescent="0.35">
      <c r="A135" s="115" t="s">
        <v>370</v>
      </c>
      <c r="B135" s="116"/>
      <c r="C135" s="116"/>
      <c r="D135" s="117" t="s">
        <v>371</v>
      </c>
      <c r="E135" s="117"/>
      <c r="F135" s="117"/>
      <c r="G135" s="118"/>
    </row>
    <row r="136" spans="1:7" ht="15" customHeight="1" x14ac:dyDescent="0.35">
      <c r="A136" s="115" t="s">
        <v>372</v>
      </c>
      <c r="B136" s="116"/>
      <c r="C136" s="116"/>
      <c r="D136" s="117" t="s">
        <v>310</v>
      </c>
      <c r="E136" s="117"/>
      <c r="F136" s="117"/>
      <c r="G136" s="118"/>
    </row>
    <row r="137" spans="1:7" x14ac:dyDescent="0.35">
      <c r="A137" s="115" t="s">
        <v>373</v>
      </c>
      <c r="B137" s="116"/>
      <c r="C137" s="116"/>
      <c r="D137" s="117" t="str">
        <f>[1]Input!I16</f>
        <v>Single Family</v>
      </c>
      <c r="E137" s="117"/>
      <c r="F137" s="117"/>
      <c r="G137" s="118"/>
    </row>
    <row r="138" spans="1:7" x14ac:dyDescent="0.35">
      <c r="A138" s="115" t="s">
        <v>298</v>
      </c>
      <c r="B138" s="116"/>
      <c r="C138" s="116"/>
      <c r="D138" s="124">
        <f>[1]Input!C21</f>
        <v>100000</v>
      </c>
      <c r="E138" s="124"/>
      <c r="F138" s="124"/>
      <c r="G138" s="125"/>
    </row>
    <row r="139" spans="1:7" x14ac:dyDescent="0.35">
      <c r="A139" s="115" t="s">
        <v>299</v>
      </c>
      <c r="B139" s="116"/>
      <c r="C139" s="116"/>
      <c r="D139" s="124">
        <f>[1]Input!C22</f>
        <v>10000</v>
      </c>
      <c r="E139" s="124"/>
      <c r="F139" s="124"/>
      <c r="G139" s="125"/>
    </row>
    <row r="140" spans="1:7" x14ac:dyDescent="0.35">
      <c r="A140" s="115" t="s">
        <v>300</v>
      </c>
      <c r="B140" s="116"/>
      <c r="C140" s="116"/>
      <c r="D140" s="124">
        <f>[1]Input!C23</f>
        <v>25000</v>
      </c>
      <c r="E140" s="124"/>
      <c r="F140" s="124"/>
      <c r="G140" s="125"/>
    </row>
    <row r="141" spans="1:7" x14ac:dyDescent="0.35">
      <c r="A141" s="115" t="s">
        <v>301</v>
      </c>
      <c r="B141" s="116"/>
      <c r="C141" s="116"/>
      <c r="D141" s="124">
        <f>[1]Input!C24</f>
        <v>50000</v>
      </c>
      <c r="E141" s="124"/>
      <c r="F141" s="124"/>
      <c r="G141" s="125"/>
    </row>
    <row r="142" spans="1:7" x14ac:dyDescent="0.35">
      <c r="A142" s="115" t="s">
        <v>374</v>
      </c>
      <c r="B142" s="116"/>
      <c r="C142" s="116"/>
      <c r="D142" s="124">
        <f>[1]Input!C25</f>
        <v>185000</v>
      </c>
      <c r="E142" s="124"/>
      <c r="F142" s="124"/>
      <c r="G142" s="125"/>
    </row>
    <row r="143" spans="1:7" x14ac:dyDescent="0.35">
      <c r="A143" s="115" t="s">
        <v>375</v>
      </c>
      <c r="B143" s="116"/>
      <c r="C143" s="116"/>
      <c r="D143" s="117" t="str">
        <f>[1]Input!C28</f>
        <v>$1M/$2M</v>
      </c>
      <c r="E143" s="117"/>
      <c r="F143" s="117"/>
      <c r="G143" s="118"/>
    </row>
    <row r="144" spans="1:7" ht="27" customHeight="1" thickBot="1" x14ac:dyDescent="0.4">
      <c r="A144" s="135" t="s">
        <v>376</v>
      </c>
      <c r="B144" s="136"/>
      <c r="C144" s="136"/>
      <c r="D144" s="137">
        <f>[1]Input!C29</f>
        <v>1000</v>
      </c>
      <c r="E144" s="137"/>
      <c r="F144" s="137"/>
      <c r="G144" s="138"/>
    </row>
    <row r="145" spans="1:7" ht="27" customHeight="1" thickBot="1" x14ac:dyDescent="0.4">
      <c r="A145" s="61"/>
      <c r="B145" s="61"/>
      <c r="C145" s="61"/>
      <c r="D145" s="62"/>
      <c r="E145" s="62"/>
      <c r="F145" s="62"/>
      <c r="G145" s="62"/>
    </row>
    <row r="146" spans="1:7" ht="16.5" customHeight="1" thickBot="1" x14ac:dyDescent="0.4">
      <c r="A146" s="139" t="s">
        <v>377</v>
      </c>
      <c r="B146" s="140"/>
      <c r="C146" s="140"/>
      <c r="D146" s="140"/>
      <c r="E146" s="140"/>
      <c r="F146" s="140"/>
      <c r="G146" s="141"/>
    </row>
    <row r="147" spans="1:7" ht="30" customHeight="1" x14ac:dyDescent="0.35">
      <c r="A147" s="142" t="s">
        <v>378</v>
      </c>
      <c r="B147" s="143"/>
      <c r="C147" s="143"/>
      <c r="D147" s="144" t="str">
        <f>[1]Input!H34</f>
        <v>Yes</v>
      </c>
      <c r="E147" s="144"/>
      <c r="F147" s="144"/>
      <c r="G147" s="145"/>
    </row>
    <row r="148" spans="1:7" ht="31.5" customHeight="1" x14ac:dyDescent="0.35">
      <c r="A148" s="126" t="s">
        <v>379</v>
      </c>
      <c r="B148" s="127"/>
      <c r="C148" s="127"/>
      <c r="D148" s="128" t="str">
        <f>[1]Input!H35</f>
        <v>No</v>
      </c>
      <c r="E148" s="128"/>
      <c r="F148" s="128"/>
      <c r="G148" s="129"/>
    </row>
    <row r="149" spans="1:7" ht="30.75" customHeight="1" x14ac:dyDescent="0.35">
      <c r="A149" s="126" t="s">
        <v>380</v>
      </c>
      <c r="B149" s="127"/>
      <c r="C149" s="127"/>
      <c r="D149" s="128" t="str">
        <f>[1]Input!H36</f>
        <v>No</v>
      </c>
      <c r="E149" s="128"/>
      <c r="F149" s="128"/>
      <c r="G149" s="129"/>
    </row>
    <row r="150" spans="1:7" ht="67.5" customHeight="1" x14ac:dyDescent="0.35">
      <c r="A150" s="126" t="s">
        <v>381</v>
      </c>
      <c r="B150" s="127"/>
      <c r="C150" s="127"/>
      <c r="D150" s="128" t="str">
        <f>[1]Input!H37</f>
        <v>Yes</v>
      </c>
      <c r="E150" s="128"/>
      <c r="F150" s="128"/>
      <c r="G150" s="129"/>
    </row>
    <row r="151" spans="1:7" ht="15" thickBot="1" x14ac:dyDescent="0.4">
      <c r="A151" s="130" t="s">
        <v>382</v>
      </c>
      <c r="B151" s="131"/>
      <c r="C151" s="132"/>
      <c r="D151" s="133" t="str">
        <f>[1]Input!H38</f>
        <v>No</v>
      </c>
      <c r="E151" s="133"/>
      <c r="F151" s="133"/>
      <c r="G151" s="134"/>
    </row>
    <row r="152" spans="1:7" ht="15" thickBot="1" x14ac:dyDescent="0.4">
      <c r="A152" s="63"/>
      <c r="B152" s="63"/>
      <c r="C152" s="63"/>
      <c r="D152" s="63"/>
    </row>
    <row r="153" spans="1:7" ht="15" thickBot="1" x14ac:dyDescent="0.4">
      <c r="A153" s="146" t="s">
        <v>383</v>
      </c>
      <c r="B153" s="147"/>
      <c r="C153" s="147"/>
      <c r="D153" s="154">
        <f>Year_Built</f>
        <v>1985</v>
      </c>
      <c r="E153" s="155"/>
      <c r="F153" s="155"/>
      <c r="G153" s="156"/>
    </row>
    <row r="154" spans="1:7" ht="15.75" customHeight="1" thickBot="1" x14ac:dyDescent="0.4">
      <c r="A154" s="146" t="s">
        <v>384</v>
      </c>
      <c r="B154" s="147"/>
      <c r="C154" s="147"/>
      <c r="D154" s="148" t="str">
        <f>[1]Input!I24</f>
        <v>Asphalt Shingles</v>
      </c>
      <c r="E154" s="149"/>
      <c r="F154" s="149"/>
      <c r="G154" s="150"/>
    </row>
    <row r="155" spans="1:7" ht="15" thickBot="1" x14ac:dyDescent="0.4">
      <c r="A155" s="146" t="s">
        <v>385</v>
      </c>
      <c r="B155" s="147"/>
      <c r="C155" s="147"/>
      <c r="D155" s="148">
        <f>Property_Update_Roof</f>
        <v>2015</v>
      </c>
      <c r="E155" s="149"/>
      <c r="F155" s="149"/>
      <c r="G155" s="150"/>
    </row>
    <row r="156" spans="1:7" ht="15" thickBot="1" x14ac:dyDescent="0.4">
      <c r="A156" s="146" t="s">
        <v>386</v>
      </c>
      <c r="B156" s="147"/>
      <c r="C156" s="147"/>
      <c r="D156" s="148" t="str">
        <f>[1]Input!I20</f>
        <v>Frame</v>
      </c>
      <c r="E156" s="149"/>
      <c r="F156" s="149"/>
      <c r="G156" s="150"/>
    </row>
    <row r="157" spans="1:7" ht="15" thickBot="1" x14ac:dyDescent="0.4">
      <c r="A157" s="146" t="s">
        <v>387</v>
      </c>
      <c r="B157" s="147"/>
      <c r="C157" s="147"/>
      <c r="D157" s="151">
        <f>[1]Input!M31</f>
        <v>2015</v>
      </c>
      <c r="E157" s="152"/>
      <c r="F157" s="152"/>
      <c r="G157" s="153"/>
    </row>
    <row r="158" spans="1:7" ht="15" thickBot="1" x14ac:dyDescent="0.4">
      <c r="A158" s="146" t="s">
        <v>388</v>
      </c>
      <c r="B158" s="147"/>
      <c r="C158" s="147"/>
      <c r="D158" s="151">
        <f>[1]Input!O31</f>
        <v>2015</v>
      </c>
      <c r="E158" s="152"/>
      <c r="F158" s="152"/>
      <c r="G158" s="153"/>
    </row>
    <row r="159" spans="1:7" ht="15" thickBot="1" x14ac:dyDescent="0.4">
      <c r="A159" s="146" t="s">
        <v>389</v>
      </c>
      <c r="B159" s="147"/>
      <c r="C159" s="147"/>
      <c r="D159" s="151">
        <f>[1]Input!K31</f>
        <v>2015</v>
      </c>
      <c r="E159" s="152"/>
      <c r="F159" s="152"/>
      <c r="G159" s="153"/>
    </row>
    <row r="160" spans="1:7" ht="15" thickBot="1" x14ac:dyDescent="0.4">
      <c r="A160" s="146" t="s">
        <v>390</v>
      </c>
      <c r="B160" s="147"/>
      <c r="C160" s="147"/>
      <c r="D160" s="166">
        <f>[1]Input!R20</f>
        <v>5000</v>
      </c>
      <c r="E160" s="167"/>
      <c r="F160" s="167"/>
      <c r="G160" s="168"/>
    </row>
    <row r="161" spans="1:9" ht="15.75" customHeight="1" thickBot="1" x14ac:dyDescent="0.4">
      <c r="A161" s="146" t="s">
        <v>391</v>
      </c>
      <c r="B161" s="147"/>
      <c r="C161" s="147"/>
      <c r="D161" s="169" t="str">
        <f>[1]Data!C71</f>
        <v>Greater of 2% or AOP Deductible</v>
      </c>
      <c r="E161" s="170"/>
      <c r="F161" s="170"/>
      <c r="G161" s="171"/>
    </row>
    <row r="162" spans="1:9" ht="15.75" customHeight="1" x14ac:dyDescent="0.35">
      <c r="A162" s="64"/>
    </row>
    <row r="163" spans="1:9" ht="15.75" customHeight="1" x14ac:dyDescent="0.35">
      <c r="A163" s="64"/>
    </row>
    <row r="164" spans="1:9" ht="15.75" customHeight="1" x14ac:dyDescent="0.35">
      <c r="A164" s="64"/>
    </row>
    <row r="166" spans="1:9" ht="15" thickBot="1" x14ac:dyDescent="0.4">
      <c r="A166" s="157" t="s">
        <v>392</v>
      </c>
      <c r="B166" s="157"/>
      <c r="C166" s="157"/>
      <c r="D166" s="157"/>
      <c r="E166" s="157"/>
      <c r="F166" s="157"/>
      <c r="G166" s="157"/>
      <c r="H166" s="157"/>
      <c r="I166" s="157"/>
    </row>
    <row r="167" spans="1:9" x14ac:dyDescent="0.35">
      <c r="A167" s="158" t="s">
        <v>393</v>
      </c>
      <c r="B167" s="159"/>
      <c r="C167" s="159"/>
      <c r="D167" s="160" t="str">
        <f>[1]Input!S34</f>
        <v>No</v>
      </c>
      <c r="E167" s="160"/>
      <c r="F167" s="160"/>
      <c r="G167" s="160"/>
      <c r="H167" s="160"/>
      <c r="I167" s="161"/>
    </row>
    <row r="168" spans="1:9" ht="25.5" customHeight="1" x14ac:dyDescent="0.35">
      <c r="A168" s="162" t="s">
        <v>394</v>
      </c>
      <c r="B168" s="163"/>
      <c r="C168" s="163"/>
      <c r="D168" s="164" t="str">
        <f>IF([1]Input!M35="","",[1]Input!M35)</f>
        <v/>
      </c>
      <c r="E168" s="164"/>
      <c r="F168" s="164"/>
      <c r="G168" s="164"/>
      <c r="H168" s="164"/>
      <c r="I168" s="165"/>
    </row>
    <row r="169" spans="1:9" ht="24" customHeight="1" x14ac:dyDescent="0.35">
      <c r="A169" s="162" t="s">
        <v>395</v>
      </c>
      <c r="B169" s="163"/>
      <c r="C169" s="163"/>
      <c r="D169" s="164" t="str">
        <f>IF([1]Input!M37="","",[1]Input!M37)</f>
        <v/>
      </c>
      <c r="E169" s="164"/>
      <c r="F169" s="164"/>
      <c r="G169" s="164"/>
      <c r="H169" s="164"/>
      <c r="I169" s="165"/>
    </row>
    <row r="170" spans="1:9" ht="24.75" customHeight="1" x14ac:dyDescent="0.35">
      <c r="A170" s="162" t="s">
        <v>396</v>
      </c>
      <c r="B170" s="163"/>
      <c r="C170" s="163"/>
      <c r="D170" s="164" t="str">
        <f>IF([1]Input!K38="","",[1]Input!K38)</f>
        <v/>
      </c>
      <c r="E170" s="164"/>
      <c r="F170" s="164"/>
      <c r="G170" s="164"/>
      <c r="H170" s="164"/>
      <c r="I170" s="165"/>
    </row>
    <row r="171" spans="1:9" ht="24.75" customHeight="1" x14ac:dyDescent="0.35">
      <c r="A171" s="162" t="s">
        <v>397</v>
      </c>
      <c r="B171" s="163"/>
      <c r="C171" s="163"/>
      <c r="D171" s="164" t="str">
        <f>IF([1]Input!Q38="","",[1]Input!Q38)</f>
        <v/>
      </c>
      <c r="E171" s="164"/>
      <c r="F171" s="164"/>
      <c r="G171" s="164"/>
      <c r="H171" s="164"/>
      <c r="I171" s="165"/>
    </row>
    <row r="172" spans="1:9" x14ac:dyDescent="0.35">
      <c r="A172" s="162" t="s">
        <v>398</v>
      </c>
      <c r="B172" s="163"/>
      <c r="C172" s="163"/>
      <c r="D172" s="164" t="str">
        <f>IF([1]Input!S38="","",[1]Input!S38)</f>
        <v/>
      </c>
      <c r="E172" s="164"/>
      <c r="F172" s="164"/>
      <c r="G172" s="164"/>
      <c r="H172" s="164"/>
      <c r="I172" s="165"/>
    </row>
    <row r="173" spans="1:9" ht="26.25" customHeight="1" thickBot="1" x14ac:dyDescent="0.4">
      <c r="A173" s="172" t="s">
        <v>399</v>
      </c>
      <c r="B173" s="173"/>
      <c r="C173" s="173"/>
      <c r="D173" s="174" t="str">
        <f>IF([1]Input!M36="","",[1]Input!M36)</f>
        <v/>
      </c>
      <c r="E173" s="174"/>
      <c r="F173" s="174"/>
      <c r="G173" s="174"/>
      <c r="H173" s="174"/>
      <c r="I173" s="175"/>
    </row>
    <row r="174" spans="1:9" x14ac:dyDescent="0.35">
      <c r="A174" s="64"/>
    </row>
    <row r="175" spans="1:9" ht="15" thickBot="1" x14ac:dyDescent="0.4">
      <c r="A175" s="157" t="s">
        <v>400</v>
      </c>
      <c r="B175" s="157"/>
      <c r="C175" s="157"/>
      <c r="D175" s="157"/>
      <c r="E175" s="157"/>
      <c r="F175" s="157"/>
      <c r="G175" s="157"/>
      <c r="H175" s="157"/>
      <c r="I175" s="157"/>
    </row>
    <row r="176" spans="1:9" x14ac:dyDescent="0.35">
      <c r="A176" s="158" t="s">
        <v>401</v>
      </c>
      <c r="B176" s="159"/>
      <c r="C176" s="159"/>
      <c r="D176" s="160" t="str">
        <f>[1]Input!U23</f>
        <v>No</v>
      </c>
      <c r="E176" s="160"/>
      <c r="F176" s="160"/>
      <c r="G176" s="160"/>
      <c r="H176" s="160"/>
      <c r="I176" s="161"/>
    </row>
    <row r="177" spans="1:9" ht="25.5" customHeight="1" x14ac:dyDescent="0.35">
      <c r="A177" s="162" t="s">
        <v>402</v>
      </c>
      <c r="B177" s="163"/>
      <c r="C177" s="163"/>
      <c r="D177" s="164" t="str">
        <f>IF(D$176="No","",[1]Input!O24)</f>
        <v/>
      </c>
      <c r="E177" s="164"/>
      <c r="F177" s="164"/>
      <c r="G177" s="164"/>
      <c r="H177" s="164"/>
      <c r="I177" s="165"/>
    </row>
    <row r="178" spans="1:9" ht="24" customHeight="1" x14ac:dyDescent="0.35">
      <c r="A178" s="162" t="s">
        <v>395</v>
      </c>
      <c r="B178" s="163"/>
      <c r="C178" s="163"/>
      <c r="D178" s="164" t="str">
        <f>IF(D$176="No","",[1]Input!O25)</f>
        <v/>
      </c>
      <c r="E178" s="164"/>
      <c r="F178" s="164"/>
      <c r="G178" s="164"/>
      <c r="H178" s="164"/>
      <c r="I178" s="165"/>
    </row>
    <row r="179" spans="1:9" ht="24.75" customHeight="1" x14ac:dyDescent="0.35">
      <c r="A179" s="162" t="s">
        <v>396</v>
      </c>
      <c r="B179" s="163"/>
      <c r="C179" s="163"/>
      <c r="D179" s="164" t="str">
        <f>IF(D$176="No","",[1]Input!M26)</f>
        <v/>
      </c>
      <c r="E179" s="164"/>
      <c r="F179" s="164"/>
      <c r="G179" s="164"/>
      <c r="H179" s="164"/>
      <c r="I179" s="165"/>
    </row>
    <row r="180" spans="1:9" ht="24.75" customHeight="1" x14ac:dyDescent="0.35">
      <c r="A180" s="162" t="s">
        <v>397</v>
      </c>
      <c r="B180" s="163"/>
      <c r="C180" s="163"/>
      <c r="D180" s="164" t="str">
        <f>IF(D$176="No","",[1]Input!S26)</f>
        <v/>
      </c>
      <c r="E180" s="164"/>
      <c r="F180" s="164"/>
      <c r="G180" s="164"/>
      <c r="H180" s="164"/>
      <c r="I180" s="165"/>
    </row>
    <row r="181" spans="1:9" x14ac:dyDescent="0.35">
      <c r="A181" s="162" t="s">
        <v>398</v>
      </c>
      <c r="B181" s="163"/>
      <c r="C181" s="163"/>
      <c r="D181" s="164" t="str">
        <f>IF(D$176="No","",[1]Input!U26)</f>
        <v/>
      </c>
      <c r="E181" s="164"/>
      <c r="F181" s="164"/>
      <c r="G181" s="164"/>
      <c r="H181" s="164"/>
      <c r="I181" s="165"/>
    </row>
    <row r="182" spans="1:9" x14ac:dyDescent="0.35">
      <c r="A182" s="64"/>
    </row>
    <row r="183" spans="1:9" x14ac:dyDescent="0.35">
      <c r="A183" s="64"/>
    </row>
    <row r="184" spans="1:9" x14ac:dyDescent="0.35">
      <c r="A184" s="64"/>
    </row>
    <row r="185" spans="1:9" x14ac:dyDescent="0.35">
      <c r="A185" s="64"/>
    </row>
    <row r="186" spans="1:9" x14ac:dyDescent="0.35">
      <c r="A186" s="65"/>
    </row>
    <row r="187" spans="1:9" x14ac:dyDescent="0.35">
      <c r="A187" s="65" t="s">
        <v>403</v>
      </c>
    </row>
    <row r="188" spans="1:9" x14ac:dyDescent="0.35">
      <c r="A188" s="66" t="s">
        <v>404</v>
      </c>
      <c r="B188" s="22"/>
    </row>
    <row r="189" spans="1:9" x14ac:dyDescent="0.35">
      <c r="A189" s="65"/>
    </row>
    <row r="190" spans="1:9" x14ac:dyDescent="0.35">
      <c r="A190" s="65"/>
    </row>
    <row r="191" spans="1:9" x14ac:dyDescent="0.35">
      <c r="A191" s="65" t="s">
        <v>403</v>
      </c>
    </row>
    <row r="192" spans="1:9" x14ac:dyDescent="0.35">
      <c r="A192" s="66" t="s">
        <v>405</v>
      </c>
      <c r="B192" s="67"/>
      <c r="C192" s="55"/>
    </row>
    <row r="194" spans="1:10" ht="25" x14ac:dyDescent="0.35">
      <c r="A194" s="68"/>
    </row>
    <row r="195" spans="1:10" ht="25" x14ac:dyDescent="0.35">
      <c r="A195" s="176" t="s">
        <v>406</v>
      </c>
      <c r="B195" s="176"/>
      <c r="C195" s="176"/>
      <c r="D195" s="176"/>
      <c r="E195" s="176"/>
      <c r="F195" s="176"/>
      <c r="G195" s="176"/>
      <c r="H195" s="176"/>
      <c r="I195" s="176"/>
      <c r="J195" s="176"/>
    </row>
    <row r="196" spans="1:10" x14ac:dyDescent="0.35">
      <c r="A196" s="69" t="s">
        <v>407</v>
      </c>
    </row>
    <row r="197" spans="1:10" x14ac:dyDescent="0.35">
      <c r="A197" s="70" t="s">
        <v>285</v>
      </c>
      <c r="B197" s="71" t="s">
        <v>408</v>
      </c>
    </row>
    <row r="198" spans="1:10" x14ac:dyDescent="0.35">
      <c r="A198" s="177" t="s">
        <v>409</v>
      </c>
      <c r="B198" s="177"/>
      <c r="C198" s="177"/>
      <c r="D198" s="177"/>
      <c r="E198" s="177"/>
      <c r="F198" s="177"/>
      <c r="G198" s="177"/>
      <c r="H198" s="177"/>
      <c r="I198" s="177"/>
      <c r="J198" s="177"/>
    </row>
    <row r="199" spans="1:10" x14ac:dyDescent="0.35">
      <c r="A199" s="178" t="s">
        <v>410</v>
      </c>
      <c r="B199" s="178"/>
      <c r="C199" s="178"/>
      <c r="D199" s="178"/>
      <c r="E199" s="178"/>
      <c r="F199" s="178"/>
      <c r="G199" s="72"/>
      <c r="H199" s="72"/>
      <c r="I199" s="72"/>
      <c r="J199" s="72"/>
    </row>
    <row r="200" spans="1:10" x14ac:dyDescent="0.35">
      <c r="A200" s="72"/>
      <c r="B200" s="72"/>
      <c r="C200" s="72"/>
      <c r="D200" s="72"/>
      <c r="E200" s="72"/>
      <c r="F200" s="72"/>
      <c r="G200" s="72"/>
      <c r="H200" s="72"/>
      <c r="I200" s="72"/>
      <c r="J200" s="72"/>
    </row>
    <row r="201" spans="1:10" x14ac:dyDescent="0.35">
      <c r="A201" s="69" t="s">
        <v>411</v>
      </c>
    </row>
    <row r="202" spans="1:10" x14ac:dyDescent="0.35">
      <c r="A202" s="51" t="s">
        <v>412</v>
      </c>
    </row>
    <row r="203" spans="1:10" x14ac:dyDescent="0.35">
      <c r="A203" s="73"/>
    </row>
    <row r="204" spans="1:10" x14ac:dyDescent="0.35">
      <c r="A204" s="51" t="s">
        <v>413</v>
      </c>
    </row>
    <row r="205" spans="1:10" x14ac:dyDescent="0.35">
      <c r="A205" s="73"/>
    </row>
    <row r="206" spans="1:10" x14ac:dyDescent="0.35">
      <c r="A206" s="51" t="s">
        <v>414</v>
      </c>
    </row>
    <row r="207" spans="1:10" x14ac:dyDescent="0.35">
      <c r="A207" s="73"/>
    </row>
    <row r="208" spans="1:10" x14ac:dyDescent="0.35">
      <c r="A208" s="51" t="s">
        <v>415</v>
      </c>
    </row>
    <row r="209" spans="1:10" x14ac:dyDescent="0.35">
      <c r="A209" s="73"/>
    </row>
    <row r="210" spans="1:10" x14ac:dyDescent="0.35">
      <c r="A210" s="179" t="s">
        <v>416</v>
      </c>
      <c r="B210" s="179"/>
      <c r="C210" s="179"/>
      <c r="D210" s="179"/>
      <c r="E210" s="179"/>
      <c r="F210" s="179"/>
      <c r="G210" s="179"/>
      <c r="H210" s="179"/>
      <c r="I210" s="179"/>
      <c r="J210" s="179"/>
    </row>
    <row r="211" spans="1:10" x14ac:dyDescent="0.35">
      <c r="A211" s="179"/>
      <c r="B211" s="179"/>
      <c r="C211" s="179"/>
      <c r="D211" s="179"/>
      <c r="E211" s="179"/>
      <c r="F211" s="179"/>
      <c r="G211" s="179"/>
      <c r="H211" s="179"/>
      <c r="I211" s="179"/>
      <c r="J211" s="179"/>
    </row>
    <row r="212" spans="1:10" x14ac:dyDescent="0.35">
      <c r="A212" s="179"/>
      <c r="B212" s="179"/>
      <c r="C212" s="179"/>
      <c r="D212" s="179"/>
      <c r="E212" s="179"/>
      <c r="F212" s="179"/>
      <c r="G212" s="179"/>
      <c r="H212" s="179"/>
      <c r="I212" s="179"/>
      <c r="J212" s="179"/>
    </row>
    <row r="213" spans="1:10" x14ac:dyDescent="0.35">
      <c r="A213" s="74"/>
      <c r="B213" s="74"/>
      <c r="C213" s="74"/>
      <c r="D213" s="74"/>
      <c r="E213" s="74"/>
      <c r="F213" s="74"/>
      <c r="G213" s="74"/>
      <c r="H213" s="74"/>
      <c r="I213" s="74"/>
      <c r="J213" s="74"/>
    </row>
    <row r="214" spans="1:10" x14ac:dyDescent="0.35">
      <c r="A214" s="74"/>
      <c r="B214" s="74"/>
      <c r="C214" s="74"/>
      <c r="D214" s="74"/>
      <c r="E214" s="74"/>
      <c r="F214" s="74"/>
      <c r="G214" s="74"/>
      <c r="H214" s="74"/>
      <c r="I214" s="74"/>
      <c r="J214" s="74"/>
    </row>
    <row r="215" spans="1:10" x14ac:dyDescent="0.35">
      <c r="A215" s="75"/>
    </row>
    <row r="216" spans="1:10" x14ac:dyDescent="0.35">
      <c r="A216" s="76" t="s">
        <v>417</v>
      </c>
    </row>
    <row r="217" spans="1:10" x14ac:dyDescent="0.35">
      <c r="A217" s="181" t="s">
        <v>418</v>
      </c>
      <c r="B217" s="181"/>
      <c r="C217" s="181"/>
      <c r="D217" s="181"/>
      <c r="E217" s="181"/>
      <c r="F217" s="67" t="s">
        <v>362</v>
      </c>
    </row>
    <row r="218" spans="1:10" x14ac:dyDescent="0.35">
      <c r="A218" s="75"/>
    </row>
    <row r="219" spans="1:10" x14ac:dyDescent="0.35">
      <c r="A219" s="77"/>
    </row>
    <row r="220" spans="1:10" x14ac:dyDescent="0.35">
      <c r="A220" s="77"/>
    </row>
    <row r="221" spans="1:10" x14ac:dyDescent="0.35">
      <c r="A221" s="77"/>
    </row>
    <row r="222" spans="1:10" x14ac:dyDescent="0.35">
      <c r="A222" s="78" t="s">
        <v>419</v>
      </c>
    </row>
    <row r="223" spans="1:10" x14ac:dyDescent="0.35">
      <c r="A223" s="182" t="s">
        <v>420</v>
      </c>
      <c r="B223" s="182"/>
      <c r="C223" s="182"/>
      <c r="D223" s="182"/>
      <c r="E223" s="182"/>
      <c r="F223" s="182"/>
      <c r="G223" s="182"/>
      <c r="H223" s="182"/>
      <c r="I223" s="182"/>
    </row>
    <row r="224" spans="1:10" x14ac:dyDescent="0.35">
      <c r="A224" s="79"/>
    </row>
    <row r="225" spans="1:10" x14ac:dyDescent="0.35">
      <c r="A225" s="183" t="s">
        <v>421</v>
      </c>
      <c r="B225" s="183"/>
      <c r="C225" s="183"/>
      <c r="D225" s="183"/>
      <c r="E225" s="183"/>
      <c r="F225" s="183"/>
      <c r="G225" s="183"/>
      <c r="H225" s="183"/>
      <c r="I225" s="183"/>
      <c r="J225" s="183"/>
    </row>
    <row r="226" spans="1:10" x14ac:dyDescent="0.35">
      <c r="A226" s="183"/>
      <c r="B226" s="183"/>
      <c r="C226" s="183"/>
      <c r="D226" s="183"/>
      <c r="E226" s="183"/>
      <c r="F226" s="183"/>
      <c r="G226" s="183"/>
      <c r="H226" s="183"/>
      <c r="I226" s="183"/>
      <c r="J226" s="183"/>
    </row>
    <row r="227" spans="1:10" x14ac:dyDescent="0.35">
      <c r="A227" s="183"/>
      <c r="B227" s="183"/>
      <c r="C227" s="183"/>
      <c r="D227" s="183"/>
      <c r="E227" s="183"/>
      <c r="F227" s="183"/>
      <c r="G227" s="183"/>
      <c r="H227" s="183"/>
      <c r="I227" s="183"/>
      <c r="J227" s="183"/>
    </row>
    <row r="228" spans="1:10" x14ac:dyDescent="0.35">
      <c r="A228" s="183"/>
      <c r="B228" s="183"/>
      <c r="C228" s="183"/>
      <c r="D228" s="183"/>
      <c r="E228" s="183"/>
      <c r="F228" s="183"/>
      <c r="G228" s="183"/>
      <c r="H228" s="183"/>
      <c r="I228" s="183"/>
      <c r="J228" s="183"/>
    </row>
    <row r="229" spans="1:10" x14ac:dyDescent="0.35">
      <c r="A229" s="183"/>
      <c r="B229" s="183"/>
      <c r="C229" s="183"/>
      <c r="D229" s="183"/>
      <c r="E229" s="183"/>
      <c r="F229" s="183"/>
      <c r="G229" s="183"/>
      <c r="H229" s="183"/>
      <c r="I229" s="183"/>
      <c r="J229" s="183"/>
    </row>
    <row r="230" spans="1:10" x14ac:dyDescent="0.35">
      <c r="A230" s="80"/>
    </row>
    <row r="231" spans="1:10" ht="18" x14ac:dyDescent="0.35">
      <c r="A231" s="184" t="s">
        <v>422</v>
      </c>
      <c r="B231" s="184"/>
      <c r="C231" s="184"/>
      <c r="D231" s="184"/>
      <c r="E231" s="184"/>
      <c r="F231" s="184"/>
      <c r="G231" s="184"/>
      <c r="H231" s="184"/>
      <c r="I231" s="184"/>
      <c r="J231" s="184"/>
    </row>
    <row r="232" spans="1:10" x14ac:dyDescent="0.35">
      <c r="A232" s="185" t="s">
        <v>423</v>
      </c>
      <c r="B232" s="185"/>
      <c r="C232" s="185"/>
      <c r="D232" s="185"/>
      <c r="E232" s="185"/>
      <c r="F232" s="185"/>
      <c r="G232" s="185"/>
      <c r="H232" s="185"/>
      <c r="I232" s="185"/>
      <c r="J232" s="185"/>
    </row>
    <row r="233" spans="1:10" x14ac:dyDescent="0.35">
      <c r="A233" s="185"/>
      <c r="B233" s="185"/>
      <c r="C233" s="185"/>
      <c r="D233" s="185"/>
      <c r="E233" s="185"/>
      <c r="F233" s="185"/>
      <c r="G233" s="185"/>
      <c r="H233" s="185"/>
      <c r="I233" s="185"/>
      <c r="J233" s="185"/>
    </row>
    <row r="234" spans="1:10" x14ac:dyDescent="0.35">
      <c r="A234" s="185"/>
      <c r="B234" s="185"/>
      <c r="C234" s="185"/>
      <c r="D234" s="185"/>
      <c r="E234" s="185"/>
      <c r="F234" s="185"/>
      <c r="G234" s="185"/>
      <c r="H234" s="185"/>
      <c r="I234" s="185"/>
      <c r="J234" s="185"/>
    </row>
    <row r="235" spans="1:10" x14ac:dyDescent="0.35">
      <c r="A235" s="185"/>
      <c r="B235" s="185"/>
      <c r="C235" s="185"/>
      <c r="D235" s="185"/>
      <c r="E235" s="185"/>
      <c r="F235" s="185"/>
      <c r="G235" s="185"/>
      <c r="H235" s="185"/>
      <c r="I235" s="185"/>
      <c r="J235" s="185"/>
    </row>
    <row r="236" spans="1:10" x14ac:dyDescent="0.35">
      <c r="A236" s="185"/>
      <c r="B236" s="185"/>
      <c r="C236" s="185"/>
      <c r="D236" s="185"/>
      <c r="E236" s="185"/>
      <c r="F236" s="185"/>
      <c r="G236" s="185"/>
      <c r="H236" s="185"/>
      <c r="I236" s="185"/>
      <c r="J236" s="185"/>
    </row>
    <row r="237" spans="1:10" x14ac:dyDescent="0.35">
      <c r="A237" s="81"/>
    </row>
    <row r="238" spans="1:10" ht="18" x14ac:dyDescent="0.35">
      <c r="A238" s="184" t="s">
        <v>424</v>
      </c>
      <c r="B238" s="184"/>
      <c r="C238" s="184"/>
      <c r="D238" s="184"/>
      <c r="E238" s="184"/>
      <c r="F238" s="184"/>
      <c r="G238" s="184"/>
      <c r="H238" s="184"/>
      <c r="I238" s="184"/>
      <c r="J238" s="184"/>
    </row>
    <row r="239" spans="1:10" ht="22.5" x14ac:dyDescent="0.35">
      <c r="A239" s="82"/>
    </row>
    <row r="240" spans="1:10" x14ac:dyDescent="0.35">
      <c r="A240" s="180" t="s">
        <v>425</v>
      </c>
      <c r="B240" s="180"/>
      <c r="C240" s="180"/>
      <c r="D240" s="180"/>
      <c r="E240" s="180"/>
      <c r="F240" s="180"/>
      <c r="G240" s="180"/>
      <c r="H240" s="180"/>
      <c r="I240" s="180"/>
      <c r="J240" s="180"/>
    </row>
    <row r="241" spans="1:10" x14ac:dyDescent="0.35">
      <c r="A241" s="180"/>
      <c r="B241" s="180"/>
      <c r="C241" s="180"/>
      <c r="D241" s="180"/>
      <c r="E241" s="180"/>
      <c r="F241" s="180"/>
      <c r="G241" s="180"/>
      <c r="H241" s="180"/>
      <c r="I241" s="180"/>
      <c r="J241" s="180"/>
    </row>
    <row r="242" spans="1:10" x14ac:dyDescent="0.35">
      <c r="A242" s="180"/>
      <c r="B242" s="180"/>
      <c r="C242" s="180"/>
      <c r="D242" s="180"/>
      <c r="E242" s="180"/>
      <c r="F242" s="180"/>
      <c r="G242" s="180"/>
      <c r="H242" s="180"/>
      <c r="I242" s="180"/>
      <c r="J242" s="180"/>
    </row>
    <row r="243" spans="1:10" ht="53.25" customHeight="1" x14ac:dyDescent="0.35">
      <c r="A243" s="180" t="s">
        <v>426</v>
      </c>
      <c r="B243" s="180"/>
      <c r="C243" s="180"/>
      <c r="D243" s="180"/>
      <c r="E243" s="180"/>
      <c r="F243" s="180"/>
      <c r="G243" s="180"/>
      <c r="H243" s="180"/>
      <c r="I243" s="180"/>
      <c r="J243" s="180"/>
    </row>
    <row r="244" spans="1:10" ht="43.5" customHeight="1" x14ac:dyDescent="0.35">
      <c r="A244" s="180" t="s">
        <v>427</v>
      </c>
      <c r="B244" s="180"/>
      <c r="C244" s="180"/>
      <c r="D244" s="180"/>
      <c r="E244" s="180"/>
      <c r="F244" s="180"/>
      <c r="G244" s="180"/>
      <c r="H244" s="180"/>
      <c r="I244" s="180"/>
      <c r="J244" s="180"/>
    </row>
    <row r="245" spans="1:10" ht="33.75" customHeight="1" x14ac:dyDescent="0.35">
      <c r="A245" s="180" t="s">
        <v>428</v>
      </c>
      <c r="B245" s="180"/>
      <c r="C245" s="180"/>
      <c r="D245" s="180"/>
      <c r="E245" s="180"/>
      <c r="F245" s="180"/>
      <c r="G245" s="180"/>
      <c r="H245" s="180"/>
      <c r="I245" s="180"/>
      <c r="J245" s="180"/>
    </row>
    <row r="246" spans="1:10" ht="101.25" customHeight="1" x14ac:dyDescent="0.35">
      <c r="A246" s="180" t="s">
        <v>429</v>
      </c>
      <c r="B246" s="180"/>
      <c r="C246" s="180"/>
      <c r="D246" s="180"/>
      <c r="E246" s="180"/>
      <c r="F246" s="180"/>
      <c r="G246" s="180"/>
      <c r="H246" s="180"/>
      <c r="I246" s="180"/>
      <c r="J246" s="180"/>
    </row>
    <row r="247" spans="1:10" ht="39" customHeight="1" x14ac:dyDescent="0.35">
      <c r="A247" s="180" t="s">
        <v>430</v>
      </c>
      <c r="B247" s="180"/>
      <c r="C247" s="180"/>
      <c r="D247" s="180"/>
      <c r="E247" s="180"/>
      <c r="F247" s="180"/>
      <c r="G247" s="180"/>
      <c r="H247" s="180"/>
      <c r="I247" s="180"/>
      <c r="J247" s="180"/>
    </row>
    <row r="248" spans="1:10" ht="46.5" customHeight="1" x14ac:dyDescent="0.35">
      <c r="A248" s="180" t="s">
        <v>431</v>
      </c>
      <c r="B248" s="180"/>
      <c r="C248" s="180"/>
      <c r="D248" s="180"/>
      <c r="E248" s="180"/>
      <c r="F248" s="180"/>
      <c r="G248" s="180"/>
      <c r="H248" s="180"/>
      <c r="I248" s="180"/>
      <c r="J248" s="180"/>
    </row>
    <row r="249" spans="1:10" ht="36.75" customHeight="1" x14ac:dyDescent="0.35">
      <c r="A249" s="180" t="s">
        <v>432</v>
      </c>
      <c r="B249" s="180"/>
      <c r="C249" s="180"/>
      <c r="D249" s="180"/>
      <c r="E249" s="180"/>
      <c r="F249" s="180"/>
      <c r="G249" s="180"/>
      <c r="H249" s="180"/>
      <c r="I249" s="180"/>
      <c r="J249" s="180"/>
    </row>
    <row r="250" spans="1:10" ht="72.75" customHeight="1" x14ac:dyDescent="0.35">
      <c r="A250" s="187" t="s">
        <v>433</v>
      </c>
      <c r="B250" s="187"/>
      <c r="C250" s="187"/>
      <c r="D250" s="187"/>
      <c r="E250" s="187"/>
      <c r="F250" s="187"/>
      <c r="G250" s="187"/>
      <c r="H250" s="187"/>
      <c r="I250" s="187"/>
      <c r="J250" s="187"/>
    </row>
    <row r="251" spans="1:10" ht="55.5" customHeight="1" x14ac:dyDescent="0.35">
      <c r="A251" s="180" t="s">
        <v>434</v>
      </c>
      <c r="B251" s="180"/>
      <c r="C251" s="180"/>
      <c r="D251" s="180"/>
      <c r="E251" s="180"/>
      <c r="F251" s="180"/>
      <c r="G251" s="180"/>
      <c r="H251" s="180"/>
      <c r="I251" s="180"/>
      <c r="J251" s="180"/>
    </row>
    <row r="252" spans="1:10" x14ac:dyDescent="0.35">
      <c r="A252" s="185"/>
      <c r="B252" s="185"/>
    </row>
    <row r="253" spans="1:10" x14ac:dyDescent="0.35">
      <c r="A253" s="185"/>
      <c r="B253" s="185"/>
    </row>
    <row r="254" spans="1:10" ht="15" customHeight="1" x14ac:dyDescent="0.35">
      <c r="A254" s="180" t="s">
        <v>435</v>
      </c>
      <c r="B254" s="180"/>
      <c r="C254" s="180"/>
      <c r="D254" s="180"/>
      <c r="E254" s="180"/>
      <c r="F254" s="180"/>
      <c r="G254" s="180"/>
      <c r="H254" s="180"/>
      <c r="I254" s="180"/>
      <c r="J254" s="180"/>
    </row>
    <row r="255" spans="1:10" x14ac:dyDescent="0.35">
      <c r="A255" s="180"/>
      <c r="B255" s="180"/>
      <c r="C255" s="180"/>
      <c r="D255" s="180"/>
      <c r="E255" s="180"/>
      <c r="F255" s="180"/>
      <c r="G255" s="180"/>
      <c r="H255" s="180"/>
      <c r="I255" s="180"/>
      <c r="J255" s="180"/>
    </row>
    <row r="256" spans="1:10" x14ac:dyDescent="0.35">
      <c r="A256" s="180"/>
      <c r="B256" s="180"/>
      <c r="C256" s="180"/>
      <c r="D256" s="180"/>
      <c r="E256" s="180"/>
      <c r="F256" s="180"/>
      <c r="G256" s="180"/>
      <c r="H256" s="180"/>
      <c r="I256" s="180"/>
      <c r="J256" s="180"/>
    </row>
    <row r="257" spans="1:10" x14ac:dyDescent="0.35">
      <c r="A257" s="180"/>
      <c r="B257" s="180"/>
      <c r="C257" s="180"/>
      <c r="D257" s="180"/>
      <c r="E257" s="180"/>
      <c r="F257" s="180"/>
      <c r="G257" s="180"/>
      <c r="H257" s="180"/>
      <c r="I257" s="180"/>
      <c r="J257" s="180"/>
    </row>
    <row r="258" spans="1:10" x14ac:dyDescent="0.35">
      <c r="A258" s="180"/>
      <c r="B258" s="180"/>
      <c r="C258" s="180"/>
      <c r="D258" s="180"/>
      <c r="E258" s="180"/>
      <c r="F258" s="180"/>
      <c r="G258" s="180"/>
      <c r="H258" s="180"/>
      <c r="I258" s="180"/>
      <c r="J258" s="180"/>
    </row>
    <row r="259" spans="1:10" x14ac:dyDescent="0.35">
      <c r="A259" s="180"/>
      <c r="B259" s="180"/>
      <c r="C259" s="180"/>
      <c r="D259" s="180"/>
      <c r="E259" s="180"/>
      <c r="F259" s="180"/>
      <c r="G259" s="180"/>
      <c r="H259" s="180"/>
      <c r="I259" s="180"/>
      <c r="J259" s="180"/>
    </row>
    <row r="260" spans="1:10" ht="15" customHeight="1" x14ac:dyDescent="0.35">
      <c r="A260" s="180" t="s">
        <v>436</v>
      </c>
      <c r="B260" s="180"/>
      <c r="C260" s="180"/>
      <c r="D260" s="180"/>
      <c r="E260" s="180"/>
      <c r="F260" s="180"/>
      <c r="G260" s="180"/>
      <c r="H260" s="180"/>
      <c r="I260" s="180"/>
      <c r="J260" s="180"/>
    </row>
    <row r="261" spans="1:10" x14ac:dyDescent="0.35">
      <c r="A261" s="180"/>
      <c r="B261" s="180"/>
      <c r="C261" s="180"/>
      <c r="D261" s="180"/>
      <c r="E261" s="180"/>
      <c r="F261" s="180"/>
      <c r="G261" s="180"/>
      <c r="H261" s="180"/>
      <c r="I261" s="180"/>
      <c r="J261" s="180"/>
    </row>
    <row r="262" spans="1:10" x14ac:dyDescent="0.35">
      <c r="A262" s="180"/>
      <c r="B262" s="180"/>
      <c r="C262" s="180"/>
      <c r="D262" s="180"/>
      <c r="E262" s="180"/>
      <c r="F262" s="180"/>
      <c r="G262" s="180"/>
      <c r="H262" s="180"/>
      <c r="I262" s="180"/>
      <c r="J262" s="180"/>
    </row>
    <row r="263" spans="1:10" x14ac:dyDescent="0.35">
      <c r="A263" s="180"/>
      <c r="B263" s="180"/>
      <c r="C263" s="180"/>
      <c r="D263" s="180"/>
      <c r="E263" s="180"/>
      <c r="F263" s="180"/>
      <c r="G263" s="180"/>
      <c r="H263" s="180"/>
      <c r="I263" s="180"/>
      <c r="J263" s="180"/>
    </row>
    <row r="264" spans="1:10" x14ac:dyDescent="0.35">
      <c r="A264" s="180"/>
      <c r="B264" s="180"/>
      <c r="C264" s="180"/>
      <c r="D264" s="180"/>
      <c r="E264" s="180"/>
      <c r="F264" s="180"/>
      <c r="G264" s="180"/>
      <c r="H264" s="180"/>
      <c r="I264" s="180"/>
      <c r="J264" s="180"/>
    </row>
    <row r="265" spans="1:10" x14ac:dyDescent="0.35">
      <c r="A265" s="180"/>
      <c r="B265" s="180"/>
      <c r="C265" s="180"/>
      <c r="D265" s="180"/>
      <c r="E265" s="180"/>
      <c r="F265" s="180"/>
      <c r="G265" s="180"/>
      <c r="H265" s="180"/>
      <c r="I265" s="180"/>
      <c r="J265" s="180"/>
    </row>
    <row r="266" spans="1:10" x14ac:dyDescent="0.35">
      <c r="A266" s="180"/>
      <c r="B266" s="180"/>
      <c r="C266" s="180"/>
      <c r="D266" s="180"/>
      <c r="E266" s="180"/>
      <c r="F266" s="180"/>
      <c r="G266" s="180"/>
      <c r="H266" s="180"/>
      <c r="I266" s="180"/>
      <c r="J266" s="180"/>
    </row>
    <row r="267" spans="1:10" x14ac:dyDescent="0.35">
      <c r="A267" s="83"/>
      <c r="B267" s="83"/>
    </row>
    <row r="268" spans="1:10" x14ac:dyDescent="0.35">
      <c r="A268" s="186" t="s">
        <v>437</v>
      </c>
      <c r="B268" s="186"/>
      <c r="C268" s="186"/>
      <c r="D268" s="186"/>
      <c r="E268" s="186"/>
      <c r="F268" s="186"/>
      <c r="G268" s="186"/>
      <c r="H268" s="186"/>
      <c r="I268" s="186"/>
      <c r="J268" s="186"/>
    </row>
    <row r="270" spans="1:10" x14ac:dyDescent="0.35">
      <c r="A270" s="84"/>
      <c r="B270" s="83"/>
    </row>
    <row r="271" spans="1:10" x14ac:dyDescent="0.35">
      <c r="A271" s="84"/>
      <c r="B271" s="83"/>
    </row>
    <row r="273" spans="1:8" x14ac:dyDescent="0.35">
      <c r="A273" s="85" t="s">
        <v>438</v>
      </c>
      <c r="B273" t="s">
        <v>439</v>
      </c>
      <c r="H273" t="s">
        <v>440</v>
      </c>
    </row>
    <row r="274" spans="1:8" x14ac:dyDescent="0.35">
      <c r="B274" s="67" t="s">
        <v>361</v>
      </c>
      <c r="H274" s="55" t="s">
        <v>362</v>
      </c>
    </row>
    <row r="275" spans="1:8" x14ac:dyDescent="0.35">
      <c r="A275" s="84"/>
      <c r="B275" s="83"/>
    </row>
    <row r="276" spans="1:8" x14ac:dyDescent="0.35">
      <c r="A276" s="84"/>
      <c r="B276" s="83"/>
    </row>
    <row r="278" spans="1:8" x14ac:dyDescent="0.35">
      <c r="A278" s="85" t="s">
        <v>438</v>
      </c>
      <c r="B278" t="s">
        <v>439</v>
      </c>
      <c r="H278" t="s">
        <v>440</v>
      </c>
    </row>
    <row r="279" spans="1:8" x14ac:dyDescent="0.35">
      <c r="B279" s="67" t="s">
        <v>441</v>
      </c>
      <c r="H279" s="55" t="s">
        <v>362</v>
      </c>
    </row>
  </sheetData>
  <mergeCells count="152">
    <mergeCell ref="A254:J259"/>
    <mergeCell ref="A260:J266"/>
    <mergeCell ref="A268:J268"/>
    <mergeCell ref="A248:J248"/>
    <mergeCell ref="A249:J249"/>
    <mergeCell ref="A250:J250"/>
    <mergeCell ref="A251:J251"/>
    <mergeCell ref="A252:B252"/>
    <mergeCell ref="A253:B253"/>
    <mergeCell ref="A240:J242"/>
    <mergeCell ref="A243:J243"/>
    <mergeCell ref="A244:J244"/>
    <mergeCell ref="A245:J245"/>
    <mergeCell ref="A246:J246"/>
    <mergeCell ref="A247:J247"/>
    <mergeCell ref="A217:E217"/>
    <mergeCell ref="A223:I223"/>
    <mergeCell ref="A225:J229"/>
    <mergeCell ref="A231:J231"/>
    <mergeCell ref="A232:J236"/>
    <mergeCell ref="A238:J238"/>
    <mergeCell ref="A181:C181"/>
    <mergeCell ref="D181:I181"/>
    <mergeCell ref="A195:J195"/>
    <mergeCell ref="A198:J198"/>
    <mergeCell ref="A199:F199"/>
    <mergeCell ref="A210:J212"/>
    <mergeCell ref="A178:C178"/>
    <mergeCell ref="D178:I178"/>
    <mergeCell ref="A179:C179"/>
    <mergeCell ref="D179:I179"/>
    <mergeCell ref="A180:C180"/>
    <mergeCell ref="D180:I180"/>
    <mergeCell ref="A173:C173"/>
    <mergeCell ref="D173:I173"/>
    <mergeCell ref="A175:I175"/>
    <mergeCell ref="A176:C176"/>
    <mergeCell ref="D176:I176"/>
    <mergeCell ref="A177:C177"/>
    <mergeCell ref="D177:I177"/>
    <mergeCell ref="A170:C170"/>
    <mergeCell ref="D170:I170"/>
    <mergeCell ref="A171:C171"/>
    <mergeCell ref="D171:I171"/>
    <mergeCell ref="A172:C172"/>
    <mergeCell ref="D172:I172"/>
    <mergeCell ref="A166:I166"/>
    <mergeCell ref="A167:C167"/>
    <mergeCell ref="D167:I167"/>
    <mergeCell ref="A168:C168"/>
    <mergeCell ref="D168:I168"/>
    <mergeCell ref="A169:C169"/>
    <mergeCell ref="D169:I169"/>
    <mergeCell ref="A159:C159"/>
    <mergeCell ref="D159:G159"/>
    <mergeCell ref="A160:C160"/>
    <mergeCell ref="D160:G160"/>
    <mergeCell ref="A161:C161"/>
    <mergeCell ref="D161:G161"/>
    <mergeCell ref="A156:C156"/>
    <mergeCell ref="D156:G156"/>
    <mergeCell ref="A157:C157"/>
    <mergeCell ref="D157:G157"/>
    <mergeCell ref="A158:C158"/>
    <mergeCell ref="D158:G158"/>
    <mergeCell ref="A153:C153"/>
    <mergeCell ref="D153:G153"/>
    <mergeCell ref="A154:C154"/>
    <mergeCell ref="D154:G154"/>
    <mergeCell ref="A155:C155"/>
    <mergeCell ref="D155:G155"/>
    <mergeCell ref="A149:C149"/>
    <mergeCell ref="D149:G149"/>
    <mergeCell ref="A150:C150"/>
    <mergeCell ref="D150:G150"/>
    <mergeCell ref="A151:C151"/>
    <mergeCell ref="D151:G151"/>
    <mergeCell ref="A144:C144"/>
    <mergeCell ref="D144:G144"/>
    <mergeCell ref="A146:G146"/>
    <mergeCell ref="A147:C147"/>
    <mergeCell ref="D147:G147"/>
    <mergeCell ref="A148:C148"/>
    <mergeCell ref="D148:G148"/>
    <mergeCell ref="A141:C141"/>
    <mergeCell ref="D141:G141"/>
    <mergeCell ref="A142:C142"/>
    <mergeCell ref="D142:G142"/>
    <mergeCell ref="A143:C143"/>
    <mergeCell ref="D143:G143"/>
    <mergeCell ref="A138:C138"/>
    <mergeCell ref="D138:G138"/>
    <mergeCell ref="A139:C139"/>
    <mergeCell ref="D139:G139"/>
    <mergeCell ref="A140:C140"/>
    <mergeCell ref="D140:G140"/>
    <mergeCell ref="A135:C135"/>
    <mergeCell ref="D135:G135"/>
    <mergeCell ref="A136:C136"/>
    <mergeCell ref="D136:G136"/>
    <mergeCell ref="A137:C137"/>
    <mergeCell ref="D137:G137"/>
    <mergeCell ref="A132:C132"/>
    <mergeCell ref="D132:G132"/>
    <mergeCell ref="A133:C133"/>
    <mergeCell ref="D133:G133"/>
    <mergeCell ref="A134:C134"/>
    <mergeCell ref="D134:G134"/>
    <mergeCell ref="A127:J127"/>
    <mergeCell ref="A129:C129"/>
    <mergeCell ref="D129:G129"/>
    <mergeCell ref="A130:C130"/>
    <mergeCell ref="D130:G130"/>
    <mergeCell ref="A131:C131"/>
    <mergeCell ref="D131:G131"/>
    <mergeCell ref="B106:J108"/>
    <mergeCell ref="B110:J111"/>
    <mergeCell ref="B113:J114"/>
    <mergeCell ref="A119:E119"/>
    <mergeCell ref="G119:H119"/>
    <mergeCell ref="A123:E123"/>
    <mergeCell ref="G123:H123"/>
    <mergeCell ref="B86:J87"/>
    <mergeCell ref="B88:J89"/>
    <mergeCell ref="A92:J92"/>
    <mergeCell ref="A94:J94"/>
    <mergeCell ref="B96:J100"/>
    <mergeCell ref="B102:J104"/>
    <mergeCell ref="A53:B53"/>
    <mergeCell ref="A54:B54"/>
    <mergeCell ref="A55:B55"/>
    <mergeCell ref="A56:B56"/>
    <mergeCell ref="A57:B57"/>
    <mergeCell ref="B84:J85"/>
    <mergeCell ref="A50:B50"/>
    <mergeCell ref="A51:B51"/>
    <mergeCell ref="A52:B52"/>
    <mergeCell ref="A17:J17"/>
    <mergeCell ref="B19:J20"/>
    <mergeCell ref="A26:B26"/>
    <mergeCell ref="C26:E26"/>
    <mergeCell ref="A42:B42"/>
    <mergeCell ref="A43:J43"/>
    <mergeCell ref="A6:J6"/>
    <mergeCell ref="A7:J7"/>
    <mergeCell ref="B9:F9"/>
    <mergeCell ref="B10:F10"/>
    <mergeCell ref="B11:D11"/>
    <mergeCell ref="A13:J14"/>
    <mergeCell ref="A44:J46"/>
    <mergeCell ref="A48:B48"/>
    <mergeCell ref="A49:B4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4"/>
  <sheetViews>
    <sheetView workbookViewId="0">
      <selection activeCell="E11" sqref="E11"/>
    </sheetView>
  </sheetViews>
  <sheetFormatPr defaultRowHeight="14.5" x14ac:dyDescent="0.35"/>
  <cols>
    <col min="1" max="1" width="22.81640625" bestFit="1" customWidth="1"/>
    <col min="6" max="6" width="66.54296875" bestFit="1" customWidth="1"/>
    <col min="10" max="10" width="29.81640625" bestFit="1" customWidth="1"/>
  </cols>
  <sheetData>
    <row r="1" spans="1:16" x14ac:dyDescent="0.35">
      <c r="A1" t="s">
        <v>13</v>
      </c>
      <c r="B1" t="s">
        <v>14</v>
      </c>
      <c r="C1" t="s">
        <v>15</v>
      </c>
      <c r="P1" t="s">
        <v>102</v>
      </c>
    </row>
    <row r="2" spans="1:16" x14ac:dyDescent="0.35">
      <c r="A2" t="s">
        <v>8</v>
      </c>
      <c r="B2">
        <v>1</v>
      </c>
      <c r="C2" t="s">
        <v>20</v>
      </c>
      <c r="P2" s="27" t="s">
        <v>231</v>
      </c>
    </row>
    <row r="3" spans="1:16" x14ac:dyDescent="0.35">
      <c r="A3" t="s">
        <v>9</v>
      </c>
      <c r="B3">
        <v>1.5</v>
      </c>
      <c r="C3" t="s">
        <v>21</v>
      </c>
      <c r="P3" s="27" t="s">
        <v>265</v>
      </c>
    </row>
    <row r="4" spans="1:16" x14ac:dyDescent="0.35">
      <c r="A4" t="s">
        <v>10</v>
      </c>
      <c r="B4">
        <v>2</v>
      </c>
      <c r="C4" t="s">
        <v>22</v>
      </c>
      <c r="P4" s="23" t="s">
        <v>233</v>
      </c>
    </row>
    <row r="5" spans="1:16" x14ac:dyDescent="0.35">
      <c r="A5" t="s">
        <v>11</v>
      </c>
      <c r="B5">
        <v>3</v>
      </c>
      <c r="C5" t="s">
        <v>23</v>
      </c>
      <c r="P5" s="23" t="s">
        <v>232</v>
      </c>
    </row>
    <row r="6" spans="1:16" x14ac:dyDescent="0.35">
      <c r="A6" t="s">
        <v>11</v>
      </c>
      <c r="B6" t="s">
        <v>12</v>
      </c>
      <c r="C6" t="s">
        <v>24</v>
      </c>
      <c r="P6" s="23" t="s">
        <v>234</v>
      </c>
    </row>
    <row r="7" spans="1:16" x14ac:dyDescent="0.35">
      <c r="P7" s="23" t="s">
        <v>235</v>
      </c>
    </row>
    <row r="8" spans="1:16" x14ac:dyDescent="0.35">
      <c r="P8" s="23" t="s">
        <v>268</v>
      </c>
    </row>
    <row r="9" spans="1:16" x14ac:dyDescent="0.35">
      <c r="A9" s="1" t="s">
        <v>25</v>
      </c>
      <c r="B9">
        <v>1</v>
      </c>
      <c r="C9">
        <v>2500</v>
      </c>
      <c r="F9" s="1" t="s">
        <v>38</v>
      </c>
      <c r="G9">
        <v>1</v>
      </c>
      <c r="P9" s="23" t="s">
        <v>236</v>
      </c>
    </row>
    <row r="10" spans="1:16" x14ac:dyDescent="0.35">
      <c r="A10" s="1" t="s">
        <v>26</v>
      </c>
      <c r="B10">
        <v>1.3</v>
      </c>
      <c r="C10">
        <v>2500</v>
      </c>
      <c r="F10" s="1" t="s">
        <v>39</v>
      </c>
      <c r="G10">
        <v>1.25</v>
      </c>
      <c r="P10" s="23" t="s">
        <v>267</v>
      </c>
    </row>
    <row r="11" spans="1:16" x14ac:dyDescent="0.35">
      <c r="A11" s="1" t="s">
        <v>27</v>
      </c>
      <c r="B11">
        <v>1.6</v>
      </c>
      <c r="C11">
        <v>5000</v>
      </c>
      <c r="F11" s="1" t="s">
        <v>40</v>
      </c>
      <c r="G11">
        <v>1.5</v>
      </c>
      <c r="P11" s="23" t="s">
        <v>266</v>
      </c>
    </row>
    <row r="12" spans="1:16" x14ac:dyDescent="0.35">
      <c r="A12" s="1" t="s">
        <v>28</v>
      </c>
      <c r="B12">
        <v>2</v>
      </c>
      <c r="C12">
        <v>5000</v>
      </c>
      <c r="F12" s="1" t="s">
        <v>41</v>
      </c>
      <c r="G12">
        <v>2</v>
      </c>
      <c r="P12" s="23" t="s">
        <v>269</v>
      </c>
    </row>
    <row r="13" spans="1:16" x14ac:dyDescent="0.35">
      <c r="A13" s="1" t="s">
        <v>29</v>
      </c>
      <c r="B13">
        <v>3</v>
      </c>
      <c r="C13">
        <v>10000</v>
      </c>
      <c r="F13" s="1" t="s">
        <v>42</v>
      </c>
      <c r="G13">
        <v>3</v>
      </c>
      <c r="P13" s="23" t="s">
        <v>237</v>
      </c>
    </row>
    <row r="14" spans="1:16" x14ac:dyDescent="0.35">
      <c r="A14" s="1" t="s">
        <v>30</v>
      </c>
      <c r="B14">
        <v>4</v>
      </c>
      <c r="C14">
        <v>10000</v>
      </c>
      <c r="F14" s="1" t="s">
        <v>43</v>
      </c>
      <c r="G14">
        <v>1.5</v>
      </c>
      <c r="P14" s="23" t="s">
        <v>241</v>
      </c>
    </row>
    <row r="15" spans="1:16" x14ac:dyDescent="0.35">
      <c r="A15" s="1" t="s">
        <v>31</v>
      </c>
      <c r="B15">
        <v>5</v>
      </c>
      <c r="C15">
        <v>25000</v>
      </c>
      <c r="F15" s="1" t="s">
        <v>44</v>
      </c>
      <c r="G15">
        <v>2</v>
      </c>
      <c r="P15" s="23" t="s">
        <v>238</v>
      </c>
    </row>
    <row r="16" spans="1:16" x14ac:dyDescent="0.35">
      <c r="A16" s="1" t="s">
        <v>32</v>
      </c>
      <c r="B16">
        <v>6</v>
      </c>
      <c r="C16">
        <v>25000</v>
      </c>
      <c r="F16" s="1" t="s">
        <v>45</v>
      </c>
      <c r="G16">
        <v>3</v>
      </c>
      <c r="P16" s="23" t="s">
        <v>239</v>
      </c>
    </row>
    <row r="17" spans="1:16" x14ac:dyDescent="0.35">
      <c r="A17" s="1" t="s">
        <v>33</v>
      </c>
      <c r="B17">
        <v>7</v>
      </c>
      <c r="C17">
        <v>25000</v>
      </c>
      <c r="P17" s="23" t="s">
        <v>240</v>
      </c>
    </row>
    <row r="18" spans="1:16" x14ac:dyDescent="0.35">
      <c r="P18" s="23" t="s">
        <v>242</v>
      </c>
    </row>
    <row r="19" spans="1:16" x14ac:dyDescent="0.35">
      <c r="A19" s="1" t="s">
        <v>35</v>
      </c>
      <c r="B19">
        <v>0.9</v>
      </c>
      <c r="P19" s="23" t="s">
        <v>243</v>
      </c>
    </row>
    <row r="20" spans="1:16" x14ac:dyDescent="0.35">
      <c r="A20" s="1" t="s">
        <v>36</v>
      </c>
      <c r="B20">
        <v>1</v>
      </c>
      <c r="P20" s="23" t="s">
        <v>270</v>
      </c>
    </row>
    <row r="21" spans="1:16" x14ac:dyDescent="0.35">
      <c r="A21" s="1" t="s">
        <v>37</v>
      </c>
      <c r="B21">
        <v>1.1000000000000001</v>
      </c>
      <c r="J21" t="s">
        <v>87</v>
      </c>
      <c r="K21">
        <v>0.75</v>
      </c>
      <c r="P21" s="23" t="s">
        <v>272</v>
      </c>
    </row>
    <row r="22" spans="1:16" x14ac:dyDescent="0.35">
      <c r="J22" t="s">
        <v>88</v>
      </c>
      <c r="K22">
        <v>1</v>
      </c>
      <c r="P22" s="23" t="s">
        <v>271</v>
      </c>
    </row>
    <row r="23" spans="1:16" x14ac:dyDescent="0.35">
      <c r="J23" t="s">
        <v>89</v>
      </c>
      <c r="K23">
        <v>1.25</v>
      </c>
      <c r="P23" s="23" t="s">
        <v>244</v>
      </c>
    </row>
    <row r="24" spans="1:16" x14ac:dyDescent="0.35">
      <c r="A24" s="1"/>
      <c r="F24" s="1" t="s">
        <v>46</v>
      </c>
      <c r="G24">
        <v>0.9</v>
      </c>
      <c r="J24" t="s">
        <v>90</v>
      </c>
      <c r="K24">
        <v>1.5</v>
      </c>
      <c r="P24" s="23" t="s">
        <v>245</v>
      </c>
    </row>
    <row r="25" spans="1:16" x14ac:dyDescent="0.35">
      <c r="F25" t="s">
        <v>47</v>
      </c>
      <c r="G25">
        <v>1</v>
      </c>
      <c r="P25" s="23" t="s">
        <v>246</v>
      </c>
    </row>
    <row r="26" spans="1:16" x14ac:dyDescent="0.35">
      <c r="A26" s="3">
        <v>500000</v>
      </c>
      <c r="F26" t="s">
        <v>48</v>
      </c>
      <c r="G26">
        <v>1.1000000000000001</v>
      </c>
      <c r="P26" s="23" t="s">
        <v>247</v>
      </c>
    </row>
    <row r="27" spans="1:16" x14ac:dyDescent="0.35">
      <c r="A27" s="3">
        <v>1000000</v>
      </c>
      <c r="P27" s="23" t="s">
        <v>273</v>
      </c>
    </row>
    <row r="28" spans="1:16" x14ac:dyDescent="0.35">
      <c r="A28" s="3">
        <v>2000000</v>
      </c>
      <c r="P28" s="23" t="s">
        <v>248</v>
      </c>
    </row>
    <row r="29" spans="1:16" x14ac:dyDescent="0.35">
      <c r="A29" s="3">
        <v>3000000</v>
      </c>
      <c r="F29" t="s">
        <v>49</v>
      </c>
      <c r="G29">
        <v>1</v>
      </c>
      <c r="P29" s="23" t="s">
        <v>276</v>
      </c>
    </row>
    <row r="30" spans="1:16" x14ac:dyDescent="0.35">
      <c r="A30" s="3">
        <v>5000000</v>
      </c>
      <c r="F30" t="s">
        <v>50</v>
      </c>
      <c r="G30">
        <v>1.2</v>
      </c>
      <c r="P30" s="23" t="s">
        <v>253</v>
      </c>
    </row>
    <row r="31" spans="1:16" x14ac:dyDescent="0.35">
      <c r="F31" t="s">
        <v>51</v>
      </c>
      <c r="G31">
        <v>1.3</v>
      </c>
      <c r="P31" s="23" t="s">
        <v>249</v>
      </c>
    </row>
    <row r="32" spans="1:16" x14ac:dyDescent="0.35">
      <c r="P32" s="23" t="s">
        <v>251</v>
      </c>
    </row>
    <row r="33" spans="1:16" x14ac:dyDescent="0.35">
      <c r="A33" s="3">
        <v>1000</v>
      </c>
      <c r="F33" t="s">
        <v>52</v>
      </c>
      <c r="G33">
        <v>0.9</v>
      </c>
      <c r="P33" s="23" t="s">
        <v>274</v>
      </c>
    </row>
    <row r="34" spans="1:16" x14ac:dyDescent="0.35">
      <c r="A34" s="3">
        <v>2500</v>
      </c>
      <c r="F34" t="s">
        <v>53</v>
      </c>
      <c r="G34">
        <v>1</v>
      </c>
      <c r="P34" s="23" t="s">
        <v>252</v>
      </c>
    </row>
    <row r="35" spans="1:16" x14ac:dyDescent="0.35">
      <c r="A35" s="3">
        <v>5000</v>
      </c>
      <c r="P35" s="23" t="s">
        <v>250</v>
      </c>
    </row>
    <row r="36" spans="1:16" x14ac:dyDescent="0.35">
      <c r="A36" s="3">
        <v>10000</v>
      </c>
      <c r="P36" s="23" t="s">
        <v>275</v>
      </c>
    </row>
    <row r="37" spans="1:16" x14ac:dyDescent="0.35">
      <c r="A37" s="3">
        <v>25000</v>
      </c>
      <c r="P37" s="23" t="s">
        <v>254</v>
      </c>
    </row>
    <row r="38" spans="1:16" x14ac:dyDescent="0.35">
      <c r="A38" s="3">
        <v>50000</v>
      </c>
      <c r="P38" s="23" t="s">
        <v>255</v>
      </c>
    </row>
    <row r="39" spans="1:16" x14ac:dyDescent="0.35">
      <c r="A39" s="3">
        <v>100000</v>
      </c>
      <c r="P39" s="23" t="s">
        <v>100</v>
      </c>
    </row>
    <row r="40" spans="1:16" x14ac:dyDescent="0.35">
      <c r="A40" s="6"/>
      <c r="P40" s="23" t="s">
        <v>256</v>
      </c>
    </row>
    <row r="41" spans="1:16" x14ac:dyDescent="0.35">
      <c r="A41" s="20" t="str">
        <f>CONCATENATE(Rater!B16,Rater!B26,Rater!B31)</f>
        <v>$3,000,001-$6,000,00050001000000</v>
      </c>
      <c r="F41" s="1" t="s">
        <v>25</v>
      </c>
      <c r="G41">
        <v>1000</v>
      </c>
      <c r="P41" s="23" t="s">
        <v>277</v>
      </c>
    </row>
    <row r="42" spans="1:16" x14ac:dyDescent="0.35">
      <c r="F42" s="1" t="s">
        <v>25</v>
      </c>
      <c r="G42">
        <v>2500</v>
      </c>
      <c r="P42" s="23" t="s">
        <v>278</v>
      </c>
    </row>
    <row r="43" spans="1:16" x14ac:dyDescent="0.35">
      <c r="F43" s="1" t="s">
        <v>25</v>
      </c>
      <c r="P43" s="23" t="s">
        <v>257</v>
      </c>
    </row>
    <row r="44" spans="1:16" x14ac:dyDescent="0.35">
      <c r="A44" t="s">
        <v>69</v>
      </c>
      <c r="B44" t="s">
        <v>79</v>
      </c>
      <c r="C44">
        <v>1</v>
      </c>
      <c r="F44" s="1" t="s">
        <v>25</v>
      </c>
      <c r="P44" s="23" t="s">
        <v>258</v>
      </c>
    </row>
    <row r="45" spans="1:16" x14ac:dyDescent="0.35">
      <c r="A45" t="s">
        <v>70</v>
      </c>
      <c r="B45" t="s">
        <v>80</v>
      </c>
      <c r="C45">
        <v>0.9</v>
      </c>
      <c r="F45" s="1" t="s">
        <v>25</v>
      </c>
      <c r="P45" s="23" t="s">
        <v>279</v>
      </c>
    </row>
    <row r="46" spans="1:16" x14ac:dyDescent="0.35">
      <c r="A46" t="s">
        <v>71</v>
      </c>
      <c r="B46" t="s">
        <v>80</v>
      </c>
      <c r="C46">
        <v>1.22</v>
      </c>
      <c r="F46" s="1" t="s">
        <v>25</v>
      </c>
      <c r="P46" s="23" t="s">
        <v>259</v>
      </c>
    </row>
    <row r="47" spans="1:16" x14ac:dyDescent="0.35">
      <c r="A47" t="s">
        <v>72</v>
      </c>
      <c r="B47" t="s">
        <v>80</v>
      </c>
      <c r="C47">
        <v>1.4</v>
      </c>
      <c r="F47" s="1" t="s">
        <v>26</v>
      </c>
      <c r="P47" s="23" t="s">
        <v>280</v>
      </c>
    </row>
    <row r="48" spans="1:16" x14ac:dyDescent="0.35">
      <c r="A48" t="s">
        <v>76</v>
      </c>
      <c r="B48" t="s">
        <v>80</v>
      </c>
      <c r="C48">
        <v>1.7</v>
      </c>
      <c r="F48" s="1" t="s">
        <v>27</v>
      </c>
      <c r="P48" s="23" t="s">
        <v>260</v>
      </c>
    </row>
    <row r="49" spans="1:16" x14ac:dyDescent="0.35">
      <c r="A49" t="s">
        <v>73</v>
      </c>
      <c r="B49" t="s">
        <v>81</v>
      </c>
      <c r="C49">
        <v>1.1599999999999999</v>
      </c>
      <c r="F49" s="1" t="s">
        <v>28</v>
      </c>
      <c r="P49" s="23" t="s">
        <v>261</v>
      </c>
    </row>
    <row r="50" spans="1:16" x14ac:dyDescent="0.35">
      <c r="A50" t="s">
        <v>74</v>
      </c>
      <c r="B50" t="s">
        <v>81</v>
      </c>
      <c r="C50">
        <v>1.38</v>
      </c>
      <c r="F50" s="1" t="s">
        <v>29</v>
      </c>
      <c r="P50" s="23" t="s">
        <v>263</v>
      </c>
    </row>
    <row r="51" spans="1:16" x14ac:dyDescent="0.35">
      <c r="A51" t="s">
        <v>75</v>
      </c>
      <c r="B51" t="s">
        <v>82</v>
      </c>
      <c r="C51">
        <v>1.19</v>
      </c>
      <c r="F51" s="1" t="s">
        <v>30</v>
      </c>
      <c r="P51" s="23" t="s">
        <v>262</v>
      </c>
    </row>
    <row r="52" spans="1:16" x14ac:dyDescent="0.35">
      <c r="F52" s="1" t="s">
        <v>31</v>
      </c>
      <c r="P52" s="23" t="s">
        <v>264</v>
      </c>
    </row>
    <row r="53" spans="1:16" x14ac:dyDescent="0.35">
      <c r="F53" s="1" t="s">
        <v>32</v>
      </c>
    </row>
    <row r="54" spans="1:16" x14ac:dyDescent="0.35">
      <c r="F54" s="1" t="s">
        <v>33</v>
      </c>
    </row>
  </sheetData>
  <sortState xmlns:xlrd2="http://schemas.microsoft.com/office/spreadsheetml/2017/richdata2" ref="P2:P52">
    <sortCondition ref="P2:P5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5"/>
  <sheetViews>
    <sheetView topLeftCell="A178" workbookViewId="0">
      <selection activeCell="D225" sqref="D225"/>
    </sheetView>
  </sheetViews>
  <sheetFormatPr defaultRowHeight="14.5" x14ac:dyDescent="0.35"/>
  <cols>
    <col min="1" max="1" width="22.81640625" bestFit="1" customWidth="1"/>
    <col min="6" max="6" width="35.1796875" bestFit="1" customWidth="1"/>
  </cols>
  <sheetData>
    <row r="1" spans="1:9" x14ac:dyDescent="0.35">
      <c r="A1" s="10" t="s">
        <v>25</v>
      </c>
      <c r="B1" s="7">
        <v>1000</v>
      </c>
      <c r="C1" s="7">
        <v>500000</v>
      </c>
      <c r="D1">
        <v>0.85</v>
      </c>
      <c r="F1" t="str">
        <f>CONCATENATE(A1,B1,C1)</f>
        <v>$0-$250,0001000500000</v>
      </c>
      <c r="G1">
        <v>0.85</v>
      </c>
    </row>
    <row r="2" spans="1:9" x14ac:dyDescent="0.35">
      <c r="A2" s="10" t="s">
        <v>25</v>
      </c>
      <c r="B2" s="7">
        <v>1000</v>
      </c>
      <c r="C2" s="7">
        <v>1000000</v>
      </c>
      <c r="D2">
        <v>1.1000000000000001</v>
      </c>
      <c r="F2" t="str">
        <f t="shared" ref="F2:F65" si="0">CONCATENATE(A2,B2,C2)</f>
        <v>$0-$250,00010001000000</v>
      </c>
      <c r="G2">
        <v>1.1000000000000001</v>
      </c>
    </row>
    <row r="3" spans="1:9" x14ac:dyDescent="0.35">
      <c r="A3" s="10" t="s">
        <v>25</v>
      </c>
      <c r="B3" s="7">
        <v>1000</v>
      </c>
      <c r="C3" s="7">
        <v>2000000</v>
      </c>
      <c r="D3">
        <v>99</v>
      </c>
      <c r="F3" t="str">
        <f t="shared" si="0"/>
        <v>$0-$250,00010002000000</v>
      </c>
      <c r="G3">
        <v>99</v>
      </c>
    </row>
    <row r="4" spans="1:9" x14ac:dyDescent="0.35">
      <c r="A4" s="10" t="s">
        <v>25</v>
      </c>
      <c r="B4" s="7">
        <v>1000</v>
      </c>
      <c r="C4" s="7">
        <v>3000000</v>
      </c>
      <c r="D4">
        <v>99</v>
      </c>
      <c r="F4" t="str">
        <f t="shared" si="0"/>
        <v>$0-$250,00010003000000</v>
      </c>
      <c r="G4">
        <v>99</v>
      </c>
    </row>
    <row r="5" spans="1:9" x14ac:dyDescent="0.35">
      <c r="A5" s="10" t="s">
        <v>25</v>
      </c>
      <c r="B5" s="7">
        <v>1000</v>
      </c>
      <c r="C5" s="7">
        <v>5000000</v>
      </c>
      <c r="D5">
        <v>99</v>
      </c>
      <c r="F5" t="str">
        <f t="shared" si="0"/>
        <v>$0-$250,00010005000000</v>
      </c>
      <c r="G5">
        <v>99</v>
      </c>
      <c r="I5" s="1"/>
    </row>
    <row r="6" spans="1:9" x14ac:dyDescent="0.35">
      <c r="A6" s="10" t="s">
        <v>25</v>
      </c>
      <c r="B6" s="7">
        <v>2500</v>
      </c>
      <c r="C6" s="7">
        <v>500000</v>
      </c>
      <c r="D6">
        <v>0.8</v>
      </c>
      <c r="F6" t="str">
        <f t="shared" si="0"/>
        <v>$0-$250,0002500500000</v>
      </c>
      <c r="G6">
        <v>0.8</v>
      </c>
    </row>
    <row r="7" spans="1:9" x14ac:dyDescent="0.35">
      <c r="A7" s="10" t="s">
        <v>25</v>
      </c>
      <c r="B7" s="7">
        <v>2500</v>
      </c>
      <c r="C7" s="7">
        <v>1000000</v>
      </c>
      <c r="D7">
        <v>1.05</v>
      </c>
      <c r="F7" t="str">
        <f t="shared" si="0"/>
        <v>$0-$250,00025001000000</v>
      </c>
      <c r="G7">
        <v>1.05</v>
      </c>
    </row>
    <row r="8" spans="1:9" x14ac:dyDescent="0.35">
      <c r="A8" s="10" t="s">
        <v>25</v>
      </c>
      <c r="B8" s="7">
        <v>2500</v>
      </c>
      <c r="C8" s="7">
        <v>2000000</v>
      </c>
      <c r="D8">
        <v>1.57</v>
      </c>
      <c r="F8" t="str">
        <f t="shared" si="0"/>
        <v>$0-$250,00025002000000</v>
      </c>
      <c r="G8">
        <v>1.57</v>
      </c>
    </row>
    <row r="9" spans="1:9" x14ac:dyDescent="0.35">
      <c r="A9" s="10" t="s">
        <v>25</v>
      </c>
      <c r="B9" s="7">
        <v>2500</v>
      </c>
      <c r="C9" s="7">
        <v>3000000</v>
      </c>
      <c r="D9">
        <v>2</v>
      </c>
      <c r="F9" t="str">
        <f t="shared" si="0"/>
        <v>$0-$250,00025003000000</v>
      </c>
      <c r="G9">
        <v>2</v>
      </c>
    </row>
    <row r="10" spans="1:9" x14ac:dyDescent="0.35">
      <c r="A10" s="10" t="s">
        <v>25</v>
      </c>
      <c r="B10" s="7">
        <v>2500</v>
      </c>
      <c r="C10" s="7">
        <v>5000000</v>
      </c>
      <c r="D10">
        <v>2.5</v>
      </c>
      <c r="F10" t="str">
        <f t="shared" si="0"/>
        <v>$0-$250,00025005000000</v>
      </c>
      <c r="G10">
        <v>2.5</v>
      </c>
    </row>
    <row r="11" spans="1:9" x14ac:dyDescent="0.35">
      <c r="A11" s="10" t="s">
        <v>25</v>
      </c>
      <c r="B11" s="7">
        <v>5000</v>
      </c>
      <c r="C11" s="7">
        <v>500000</v>
      </c>
      <c r="D11">
        <v>0.76</v>
      </c>
      <c r="F11" t="str">
        <f t="shared" si="0"/>
        <v>$0-$250,0005000500000</v>
      </c>
      <c r="G11">
        <v>0.76</v>
      </c>
    </row>
    <row r="12" spans="1:9" x14ac:dyDescent="0.35">
      <c r="A12" s="10" t="s">
        <v>25</v>
      </c>
      <c r="B12" s="7">
        <v>5000</v>
      </c>
      <c r="C12" s="7">
        <v>1000000</v>
      </c>
      <c r="D12">
        <v>1</v>
      </c>
      <c r="F12" t="str">
        <f t="shared" si="0"/>
        <v>$0-$250,00050001000000</v>
      </c>
      <c r="G12">
        <v>1</v>
      </c>
    </row>
    <row r="13" spans="1:9" x14ac:dyDescent="0.35">
      <c r="A13" s="10" t="s">
        <v>25</v>
      </c>
      <c r="B13" s="7">
        <v>5000</v>
      </c>
      <c r="C13" s="7">
        <v>2000000</v>
      </c>
      <c r="D13">
        <v>1.5</v>
      </c>
      <c r="F13" t="str">
        <f t="shared" si="0"/>
        <v>$0-$250,00050002000000</v>
      </c>
      <c r="G13">
        <v>1.5</v>
      </c>
    </row>
    <row r="14" spans="1:9" x14ac:dyDescent="0.35">
      <c r="A14" s="10" t="s">
        <v>25</v>
      </c>
      <c r="B14" s="7">
        <v>5000</v>
      </c>
      <c r="C14" s="7">
        <v>3000000</v>
      </c>
      <c r="D14">
        <v>1.94</v>
      </c>
      <c r="F14" t="str">
        <f t="shared" si="0"/>
        <v>$0-$250,00050003000000</v>
      </c>
      <c r="G14">
        <v>1.94</v>
      </c>
    </row>
    <row r="15" spans="1:9" x14ac:dyDescent="0.35">
      <c r="A15" s="10" t="s">
        <v>25</v>
      </c>
      <c r="B15" s="7">
        <v>5000</v>
      </c>
      <c r="C15" s="7">
        <v>5000000</v>
      </c>
      <c r="D15">
        <v>2.4300000000000002</v>
      </c>
      <c r="F15" t="str">
        <f t="shared" si="0"/>
        <v>$0-$250,00050005000000</v>
      </c>
      <c r="G15">
        <v>2.4300000000000002</v>
      </c>
    </row>
    <row r="16" spans="1:9" x14ac:dyDescent="0.35">
      <c r="A16" s="10" t="s">
        <v>25</v>
      </c>
      <c r="B16" s="7">
        <v>10000</v>
      </c>
      <c r="C16" s="7">
        <v>500000</v>
      </c>
      <c r="D16">
        <v>0.73</v>
      </c>
      <c r="F16" t="str">
        <f t="shared" si="0"/>
        <v>$0-$250,00010000500000</v>
      </c>
      <c r="G16">
        <v>0.73</v>
      </c>
    </row>
    <row r="17" spans="1:7" x14ac:dyDescent="0.35">
      <c r="A17" s="10" t="s">
        <v>25</v>
      </c>
      <c r="B17" s="7">
        <v>10000</v>
      </c>
      <c r="C17" s="7">
        <v>1000000</v>
      </c>
      <c r="D17">
        <v>0.96</v>
      </c>
      <c r="F17" t="str">
        <f t="shared" si="0"/>
        <v>$0-$250,000100001000000</v>
      </c>
      <c r="G17">
        <v>0.96</v>
      </c>
    </row>
    <row r="18" spans="1:7" x14ac:dyDescent="0.35">
      <c r="A18" s="10" t="s">
        <v>25</v>
      </c>
      <c r="B18" s="7">
        <v>10000</v>
      </c>
      <c r="C18" s="7">
        <v>2000000</v>
      </c>
      <c r="D18">
        <v>1.46</v>
      </c>
      <c r="F18" t="str">
        <f t="shared" si="0"/>
        <v>$0-$250,000100002000000</v>
      </c>
      <c r="G18">
        <v>1.46</v>
      </c>
    </row>
    <row r="19" spans="1:7" x14ac:dyDescent="0.35">
      <c r="A19" s="10" t="s">
        <v>25</v>
      </c>
      <c r="B19" s="7">
        <v>10000</v>
      </c>
      <c r="C19" s="7">
        <v>3000000</v>
      </c>
      <c r="D19">
        <v>1.9</v>
      </c>
      <c r="F19" t="str">
        <f t="shared" si="0"/>
        <v>$0-$250,000100003000000</v>
      </c>
      <c r="G19">
        <v>1.9</v>
      </c>
    </row>
    <row r="20" spans="1:7" x14ac:dyDescent="0.35">
      <c r="A20" s="10" t="s">
        <v>25</v>
      </c>
      <c r="B20" s="7">
        <v>10000</v>
      </c>
      <c r="C20" s="7">
        <v>5000000</v>
      </c>
      <c r="D20">
        <v>2.4</v>
      </c>
      <c r="F20" t="str">
        <f t="shared" si="0"/>
        <v>$0-$250,000100005000000</v>
      </c>
      <c r="G20">
        <v>2.4</v>
      </c>
    </row>
    <row r="21" spans="1:7" x14ac:dyDescent="0.35">
      <c r="A21" s="10" t="s">
        <v>25</v>
      </c>
      <c r="B21" s="7">
        <v>25000</v>
      </c>
      <c r="C21" s="7">
        <v>500000</v>
      </c>
      <c r="D21">
        <v>0.7</v>
      </c>
      <c r="F21" t="str">
        <f t="shared" si="0"/>
        <v>$0-$250,00025000500000</v>
      </c>
      <c r="G21">
        <v>0.7</v>
      </c>
    </row>
    <row r="22" spans="1:7" x14ac:dyDescent="0.35">
      <c r="A22" s="10" t="s">
        <v>25</v>
      </c>
      <c r="B22" s="7">
        <v>25000</v>
      </c>
      <c r="C22" s="7">
        <v>1000000</v>
      </c>
      <c r="D22">
        <v>0.9</v>
      </c>
      <c r="F22" t="str">
        <f t="shared" si="0"/>
        <v>$0-$250,000250001000000</v>
      </c>
      <c r="G22">
        <v>0.9</v>
      </c>
    </row>
    <row r="23" spans="1:7" x14ac:dyDescent="0.35">
      <c r="A23" s="10" t="s">
        <v>25</v>
      </c>
      <c r="B23" s="7">
        <v>25000</v>
      </c>
      <c r="C23" s="7">
        <v>2000000</v>
      </c>
      <c r="D23">
        <v>1.42</v>
      </c>
      <c r="F23" t="str">
        <f t="shared" si="0"/>
        <v>$0-$250,000250002000000</v>
      </c>
      <c r="G23">
        <v>1.42</v>
      </c>
    </row>
    <row r="24" spans="1:7" x14ac:dyDescent="0.35">
      <c r="A24" s="10" t="s">
        <v>25</v>
      </c>
      <c r="B24" s="7">
        <v>25000</v>
      </c>
      <c r="C24" s="7">
        <v>3000000</v>
      </c>
      <c r="D24">
        <v>1.86</v>
      </c>
      <c r="F24" t="str">
        <f t="shared" si="0"/>
        <v>$0-$250,000250003000000</v>
      </c>
      <c r="G24">
        <v>1.86</v>
      </c>
    </row>
    <row r="25" spans="1:7" x14ac:dyDescent="0.35">
      <c r="A25" s="10" t="s">
        <v>25</v>
      </c>
      <c r="B25" s="7">
        <v>25000</v>
      </c>
      <c r="C25" s="7">
        <v>5000000</v>
      </c>
      <c r="D25">
        <v>2.36</v>
      </c>
      <c r="F25" t="str">
        <f t="shared" si="0"/>
        <v>$0-$250,000250005000000</v>
      </c>
      <c r="G25">
        <v>2.36</v>
      </c>
    </row>
    <row r="26" spans="1:7" x14ac:dyDescent="0.35">
      <c r="A26" s="10" t="s">
        <v>25</v>
      </c>
      <c r="B26" s="7">
        <v>50000</v>
      </c>
      <c r="C26" s="7">
        <v>500000</v>
      </c>
      <c r="D26">
        <v>0.65</v>
      </c>
      <c r="F26" t="str">
        <f t="shared" si="0"/>
        <v>$0-$250,00050000500000</v>
      </c>
      <c r="G26">
        <v>0.65</v>
      </c>
    </row>
    <row r="27" spans="1:7" x14ac:dyDescent="0.35">
      <c r="A27" s="10" t="s">
        <v>25</v>
      </c>
      <c r="B27" s="7">
        <v>50000</v>
      </c>
      <c r="C27" s="7">
        <v>1000000</v>
      </c>
      <c r="D27">
        <v>0.86</v>
      </c>
      <c r="F27" t="str">
        <f t="shared" si="0"/>
        <v>$0-$250,000500001000000</v>
      </c>
      <c r="G27">
        <v>0.86</v>
      </c>
    </row>
    <row r="28" spans="1:7" x14ac:dyDescent="0.35">
      <c r="A28" s="10" t="s">
        <v>25</v>
      </c>
      <c r="B28" s="7">
        <v>50000</v>
      </c>
      <c r="C28" s="7">
        <v>2000000</v>
      </c>
      <c r="D28">
        <v>1.38</v>
      </c>
      <c r="F28" t="str">
        <f t="shared" si="0"/>
        <v>$0-$250,000500002000000</v>
      </c>
      <c r="G28">
        <v>1.38</v>
      </c>
    </row>
    <row r="29" spans="1:7" x14ac:dyDescent="0.35">
      <c r="A29" s="10" t="s">
        <v>25</v>
      </c>
      <c r="B29" s="7">
        <v>50000</v>
      </c>
      <c r="C29" s="7">
        <v>3000000</v>
      </c>
      <c r="D29">
        <v>1.81</v>
      </c>
      <c r="F29" t="str">
        <f t="shared" si="0"/>
        <v>$0-$250,000500003000000</v>
      </c>
      <c r="G29">
        <v>1.81</v>
      </c>
    </row>
    <row r="30" spans="1:7" x14ac:dyDescent="0.35">
      <c r="A30" s="10" t="s">
        <v>25</v>
      </c>
      <c r="B30" s="7">
        <v>50000</v>
      </c>
      <c r="C30" s="7">
        <v>5000000</v>
      </c>
      <c r="D30">
        <v>2.31</v>
      </c>
      <c r="F30" t="str">
        <f t="shared" si="0"/>
        <v>$0-$250,000500005000000</v>
      </c>
      <c r="G30">
        <v>2.31</v>
      </c>
    </row>
    <row r="31" spans="1:7" x14ac:dyDescent="0.35">
      <c r="A31" s="10" t="s">
        <v>25</v>
      </c>
      <c r="B31" s="7">
        <v>100000</v>
      </c>
      <c r="C31" s="7">
        <v>500000</v>
      </c>
      <c r="D31">
        <v>0.6</v>
      </c>
      <c r="F31" t="str">
        <f t="shared" si="0"/>
        <v>$0-$250,000100000500000</v>
      </c>
      <c r="G31">
        <v>0.6</v>
      </c>
    </row>
    <row r="32" spans="1:7" x14ac:dyDescent="0.35">
      <c r="A32" s="10" t="s">
        <v>25</v>
      </c>
      <c r="B32" s="7">
        <v>100000</v>
      </c>
      <c r="C32" s="7">
        <v>1000000</v>
      </c>
      <c r="D32">
        <v>0.82</v>
      </c>
      <c r="F32" t="str">
        <f t="shared" si="0"/>
        <v>$0-$250,0001000001000000</v>
      </c>
      <c r="G32">
        <v>0.82</v>
      </c>
    </row>
    <row r="33" spans="1:7" x14ac:dyDescent="0.35">
      <c r="A33" s="10" t="s">
        <v>25</v>
      </c>
      <c r="B33" s="7">
        <v>100000</v>
      </c>
      <c r="C33" s="7">
        <v>2000000</v>
      </c>
      <c r="D33">
        <v>1.32</v>
      </c>
      <c r="F33" t="str">
        <f t="shared" si="0"/>
        <v>$0-$250,0001000002000000</v>
      </c>
      <c r="G33">
        <v>1.32</v>
      </c>
    </row>
    <row r="34" spans="1:7" x14ac:dyDescent="0.35">
      <c r="A34" s="10" t="s">
        <v>25</v>
      </c>
      <c r="B34" s="7">
        <v>100000</v>
      </c>
      <c r="C34" s="7">
        <v>3000000</v>
      </c>
      <c r="D34">
        <v>1.74</v>
      </c>
      <c r="F34" t="str">
        <f t="shared" si="0"/>
        <v>$0-$250,0001000003000000</v>
      </c>
      <c r="G34">
        <v>1.74</v>
      </c>
    </row>
    <row r="35" spans="1:7" x14ac:dyDescent="0.35">
      <c r="A35" s="10" t="s">
        <v>25</v>
      </c>
      <c r="B35" s="7">
        <v>100000</v>
      </c>
      <c r="C35" s="7">
        <v>5000000</v>
      </c>
      <c r="D35">
        <v>2.25</v>
      </c>
      <c r="F35" t="str">
        <f t="shared" si="0"/>
        <v>$0-$250,0001000005000000</v>
      </c>
      <c r="G35">
        <v>2.25</v>
      </c>
    </row>
    <row r="36" spans="1:7" x14ac:dyDescent="0.35">
      <c r="A36" s="14" t="s">
        <v>26</v>
      </c>
      <c r="B36" s="15">
        <v>1000</v>
      </c>
      <c r="C36" s="15">
        <v>500000</v>
      </c>
      <c r="D36">
        <v>0.85</v>
      </c>
      <c r="F36" t="str">
        <f t="shared" si="0"/>
        <v>$250,001-$500,0001000500000</v>
      </c>
      <c r="G36">
        <v>0.85</v>
      </c>
    </row>
    <row r="37" spans="1:7" x14ac:dyDescent="0.35">
      <c r="A37" s="14" t="s">
        <v>26</v>
      </c>
      <c r="B37" s="15">
        <v>1000</v>
      </c>
      <c r="C37" s="15">
        <v>1000000</v>
      </c>
      <c r="D37">
        <v>1.1000000000000001</v>
      </c>
      <c r="F37" t="str">
        <f t="shared" si="0"/>
        <v>$250,001-$500,00010001000000</v>
      </c>
      <c r="G37">
        <v>1.1000000000000001</v>
      </c>
    </row>
    <row r="38" spans="1:7" x14ac:dyDescent="0.35">
      <c r="A38" s="14" t="s">
        <v>26</v>
      </c>
      <c r="B38" s="15">
        <v>1000</v>
      </c>
      <c r="C38" s="15">
        <v>2000000</v>
      </c>
      <c r="D38">
        <v>99</v>
      </c>
      <c r="F38" t="str">
        <f t="shared" si="0"/>
        <v>$250,001-$500,00010002000000</v>
      </c>
      <c r="G38">
        <v>99</v>
      </c>
    </row>
    <row r="39" spans="1:7" x14ac:dyDescent="0.35">
      <c r="A39" s="14" t="s">
        <v>26</v>
      </c>
      <c r="B39" s="15">
        <v>1000</v>
      </c>
      <c r="C39" s="15">
        <v>3000000</v>
      </c>
      <c r="D39">
        <v>99</v>
      </c>
      <c r="F39" t="str">
        <f t="shared" si="0"/>
        <v>$250,001-$500,00010003000000</v>
      </c>
      <c r="G39">
        <v>99</v>
      </c>
    </row>
    <row r="40" spans="1:7" x14ac:dyDescent="0.35">
      <c r="A40" s="14" t="s">
        <v>26</v>
      </c>
      <c r="B40" s="15">
        <v>1000</v>
      </c>
      <c r="C40" s="15">
        <v>5000000</v>
      </c>
      <c r="D40">
        <v>99</v>
      </c>
      <c r="F40" t="str">
        <f t="shared" si="0"/>
        <v>$250,001-$500,00010005000000</v>
      </c>
      <c r="G40">
        <v>99</v>
      </c>
    </row>
    <row r="41" spans="1:7" x14ac:dyDescent="0.35">
      <c r="A41" s="14" t="s">
        <v>26</v>
      </c>
      <c r="B41" s="15">
        <v>2500</v>
      </c>
      <c r="C41" s="15">
        <v>500000</v>
      </c>
      <c r="D41">
        <v>0.8</v>
      </c>
      <c r="F41" t="str">
        <f t="shared" si="0"/>
        <v>$250,001-$500,0002500500000</v>
      </c>
      <c r="G41">
        <v>0.8</v>
      </c>
    </row>
    <row r="42" spans="1:7" x14ac:dyDescent="0.35">
      <c r="A42" s="14" t="s">
        <v>26</v>
      </c>
      <c r="B42" s="15">
        <v>2500</v>
      </c>
      <c r="C42" s="15">
        <v>1000000</v>
      </c>
      <c r="D42">
        <v>1.05</v>
      </c>
      <c r="F42" t="str">
        <f t="shared" si="0"/>
        <v>$250,001-$500,00025001000000</v>
      </c>
      <c r="G42">
        <v>1.05</v>
      </c>
    </row>
    <row r="43" spans="1:7" x14ac:dyDescent="0.35">
      <c r="A43" s="14" t="s">
        <v>26</v>
      </c>
      <c r="B43" s="15">
        <v>2500</v>
      </c>
      <c r="C43" s="15">
        <v>2000000</v>
      </c>
      <c r="D43">
        <v>1.57</v>
      </c>
      <c r="F43" t="str">
        <f t="shared" si="0"/>
        <v>$250,001-$500,00025002000000</v>
      </c>
      <c r="G43">
        <v>1.57</v>
      </c>
    </row>
    <row r="44" spans="1:7" x14ac:dyDescent="0.35">
      <c r="A44" s="14" t="s">
        <v>26</v>
      </c>
      <c r="B44" s="15">
        <v>2500</v>
      </c>
      <c r="C44" s="15">
        <v>3000000</v>
      </c>
      <c r="D44">
        <v>2</v>
      </c>
      <c r="F44" t="str">
        <f t="shared" si="0"/>
        <v>$250,001-$500,00025003000000</v>
      </c>
      <c r="G44">
        <v>2</v>
      </c>
    </row>
    <row r="45" spans="1:7" x14ac:dyDescent="0.35">
      <c r="A45" s="14" t="s">
        <v>26</v>
      </c>
      <c r="B45" s="15">
        <v>2500</v>
      </c>
      <c r="C45" s="15">
        <v>5000000</v>
      </c>
      <c r="D45">
        <v>2.5</v>
      </c>
      <c r="F45" t="str">
        <f t="shared" si="0"/>
        <v>$250,001-$500,00025005000000</v>
      </c>
      <c r="G45">
        <v>2.5</v>
      </c>
    </row>
    <row r="46" spans="1:7" x14ac:dyDescent="0.35">
      <c r="A46" s="14" t="s">
        <v>26</v>
      </c>
      <c r="B46" s="15">
        <v>5000</v>
      </c>
      <c r="C46" s="15">
        <v>500000</v>
      </c>
      <c r="D46">
        <v>0.76</v>
      </c>
      <c r="F46" t="str">
        <f t="shared" si="0"/>
        <v>$250,001-$500,0005000500000</v>
      </c>
      <c r="G46">
        <v>0.76</v>
      </c>
    </row>
    <row r="47" spans="1:7" x14ac:dyDescent="0.35">
      <c r="A47" s="14" t="s">
        <v>26</v>
      </c>
      <c r="B47" s="15">
        <v>5000</v>
      </c>
      <c r="C47" s="15">
        <v>1000000</v>
      </c>
      <c r="D47">
        <v>1</v>
      </c>
      <c r="F47" t="str">
        <f t="shared" si="0"/>
        <v>$250,001-$500,00050001000000</v>
      </c>
      <c r="G47">
        <v>1</v>
      </c>
    </row>
    <row r="48" spans="1:7" x14ac:dyDescent="0.35">
      <c r="A48" s="14" t="s">
        <v>26</v>
      </c>
      <c r="B48" s="15">
        <v>5000</v>
      </c>
      <c r="C48" s="15">
        <v>2000000</v>
      </c>
      <c r="D48">
        <v>1.5</v>
      </c>
      <c r="F48" t="str">
        <f t="shared" si="0"/>
        <v>$250,001-$500,00050002000000</v>
      </c>
      <c r="G48">
        <v>1.5</v>
      </c>
    </row>
    <row r="49" spans="1:7" x14ac:dyDescent="0.35">
      <c r="A49" s="14" t="s">
        <v>26</v>
      </c>
      <c r="B49" s="15">
        <v>5000</v>
      </c>
      <c r="C49" s="15">
        <v>3000000</v>
      </c>
      <c r="D49">
        <v>1.94</v>
      </c>
      <c r="F49" t="str">
        <f t="shared" si="0"/>
        <v>$250,001-$500,00050003000000</v>
      </c>
      <c r="G49">
        <v>1.94</v>
      </c>
    </row>
    <row r="50" spans="1:7" x14ac:dyDescent="0.35">
      <c r="A50" s="14" t="s">
        <v>26</v>
      </c>
      <c r="B50" s="15">
        <v>5000</v>
      </c>
      <c r="C50" s="15">
        <v>5000000</v>
      </c>
      <c r="D50">
        <v>2.4300000000000002</v>
      </c>
      <c r="F50" t="str">
        <f t="shared" si="0"/>
        <v>$250,001-$500,00050005000000</v>
      </c>
      <c r="G50">
        <v>2.4300000000000002</v>
      </c>
    </row>
    <row r="51" spans="1:7" x14ac:dyDescent="0.35">
      <c r="A51" s="14" t="s">
        <v>26</v>
      </c>
      <c r="B51" s="15">
        <v>10000</v>
      </c>
      <c r="C51" s="15">
        <v>500000</v>
      </c>
      <c r="D51">
        <v>0.73</v>
      </c>
      <c r="F51" t="str">
        <f t="shared" si="0"/>
        <v>$250,001-$500,00010000500000</v>
      </c>
      <c r="G51">
        <v>0.73</v>
      </c>
    </row>
    <row r="52" spans="1:7" x14ac:dyDescent="0.35">
      <c r="A52" s="14" t="s">
        <v>26</v>
      </c>
      <c r="B52" s="15">
        <v>10000</v>
      </c>
      <c r="C52" s="15">
        <v>1000000</v>
      </c>
      <c r="D52">
        <v>0.96</v>
      </c>
      <c r="F52" t="str">
        <f t="shared" si="0"/>
        <v>$250,001-$500,000100001000000</v>
      </c>
      <c r="G52">
        <v>0.96</v>
      </c>
    </row>
    <row r="53" spans="1:7" x14ac:dyDescent="0.35">
      <c r="A53" s="14" t="s">
        <v>26</v>
      </c>
      <c r="B53" s="15">
        <v>10000</v>
      </c>
      <c r="C53" s="15">
        <v>2000000</v>
      </c>
      <c r="D53">
        <v>1.46</v>
      </c>
      <c r="F53" t="str">
        <f t="shared" si="0"/>
        <v>$250,001-$500,000100002000000</v>
      </c>
      <c r="G53">
        <v>1.46</v>
      </c>
    </row>
    <row r="54" spans="1:7" x14ac:dyDescent="0.35">
      <c r="A54" s="14" t="s">
        <v>26</v>
      </c>
      <c r="B54" s="15">
        <v>10000</v>
      </c>
      <c r="C54" s="15">
        <v>3000000</v>
      </c>
      <c r="D54">
        <v>1.9</v>
      </c>
      <c r="F54" t="str">
        <f t="shared" si="0"/>
        <v>$250,001-$500,000100003000000</v>
      </c>
      <c r="G54">
        <v>1.9</v>
      </c>
    </row>
    <row r="55" spans="1:7" x14ac:dyDescent="0.35">
      <c r="A55" s="14" t="s">
        <v>26</v>
      </c>
      <c r="B55" s="15">
        <v>10000</v>
      </c>
      <c r="C55" s="15">
        <v>5000000</v>
      </c>
      <c r="D55">
        <v>2.4</v>
      </c>
      <c r="F55" t="str">
        <f t="shared" si="0"/>
        <v>$250,001-$500,000100005000000</v>
      </c>
      <c r="G55">
        <v>2.4</v>
      </c>
    </row>
    <row r="56" spans="1:7" x14ac:dyDescent="0.35">
      <c r="A56" s="14" t="s">
        <v>26</v>
      </c>
      <c r="B56" s="15">
        <v>25000</v>
      </c>
      <c r="C56" s="15">
        <v>500000</v>
      </c>
      <c r="D56">
        <v>0.7</v>
      </c>
      <c r="F56" t="str">
        <f t="shared" si="0"/>
        <v>$250,001-$500,00025000500000</v>
      </c>
      <c r="G56">
        <v>0.7</v>
      </c>
    </row>
    <row r="57" spans="1:7" x14ac:dyDescent="0.35">
      <c r="A57" s="14" t="s">
        <v>26</v>
      </c>
      <c r="B57" s="15">
        <v>25000</v>
      </c>
      <c r="C57" s="15">
        <v>1000000</v>
      </c>
      <c r="D57">
        <v>0.9</v>
      </c>
      <c r="F57" t="str">
        <f t="shared" si="0"/>
        <v>$250,001-$500,000250001000000</v>
      </c>
      <c r="G57">
        <v>0.9</v>
      </c>
    </row>
    <row r="58" spans="1:7" x14ac:dyDescent="0.35">
      <c r="A58" s="14" t="s">
        <v>26</v>
      </c>
      <c r="B58" s="15">
        <v>25000</v>
      </c>
      <c r="C58" s="15">
        <v>2000000</v>
      </c>
      <c r="D58">
        <v>1.42</v>
      </c>
      <c r="F58" t="str">
        <f t="shared" si="0"/>
        <v>$250,001-$500,000250002000000</v>
      </c>
      <c r="G58">
        <v>1.42</v>
      </c>
    </row>
    <row r="59" spans="1:7" x14ac:dyDescent="0.35">
      <c r="A59" s="14" t="s">
        <v>26</v>
      </c>
      <c r="B59" s="15">
        <v>25000</v>
      </c>
      <c r="C59" s="15">
        <v>3000000</v>
      </c>
      <c r="D59">
        <v>1.86</v>
      </c>
      <c r="F59" t="str">
        <f t="shared" si="0"/>
        <v>$250,001-$500,000250003000000</v>
      </c>
      <c r="G59">
        <v>1.86</v>
      </c>
    </row>
    <row r="60" spans="1:7" x14ac:dyDescent="0.35">
      <c r="A60" s="14" t="s">
        <v>26</v>
      </c>
      <c r="B60" s="15">
        <v>25000</v>
      </c>
      <c r="C60" s="15">
        <v>5000000</v>
      </c>
      <c r="D60">
        <v>2.36</v>
      </c>
      <c r="F60" t="str">
        <f t="shared" si="0"/>
        <v>$250,001-$500,000250005000000</v>
      </c>
      <c r="G60">
        <v>2.36</v>
      </c>
    </row>
    <row r="61" spans="1:7" x14ac:dyDescent="0.35">
      <c r="A61" s="14" t="s">
        <v>26</v>
      </c>
      <c r="B61" s="15">
        <v>50000</v>
      </c>
      <c r="C61" s="15">
        <v>500000</v>
      </c>
      <c r="D61">
        <v>0.65</v>
      </c>
      <c r="F61" t="str">
        <f t="shared" si="0"/>
        <v>$250,001-$500,00050000500000</v>
      </c>
      <c r="G61">
        <v>0.65</v>
      </c>
    </row>
    <row r="62" spans="1:7" x14ac:dyDescent="0.35">
      <c r="A62" s="14" t="s">
        <v>26</v>
      </c>
      <c r="B62" s="15">
        <v>50000</v>
      </c>
      <c r="C62" s="15">
        <v>1000000</v>
      </c>
      <c r="D62">
        <v>0.86</v>
      </c>
      <c r="F62" t="str">
        <f t="shared" si="0"/>
        <v>$250,001-$500,000500001000000</v>
      </c>
      <c r="G62">
        <v>0.86</v>
      </c>
    </row>
    <row r="63" spans="1:7" x14ac:dyDescent="0.35">
      <c r="A63" s="14" t="s">
        <v>26</v>
      </c>
      <c r="B63" s="15">
        <v>50000</v>
      </c>
      <c r="C63" s="15">
        <v>2000000</v>
      </c>
      <c r="D63">
        <v>1.38</v>
      </c>
      <c r="F63" t="str">
        <f t="shared" si="0"/>
        <v>$250,001-$500,000500002000000</v>
      </c>
      <c r="G63">
        <v>1.38</v>
      </c>
    </row>
    <row r="64" spans="1:7" x14ac:dyDescent="0.35">
      <c r="A64" s="14" t="s">
        <v>26</v>
      </c>
      <c r="B64" s="15">
        <v>50000</v>
      </c>
      <c r="C64" s="15">
        <v>3000000</v>
      </c>
      <c r="D64">
        <v>1.81</v>
      </c>
      <c r="F64" t="str">
        <f t="shared" si="0"/>
        <v>$250,001-$500,000500003000000</v>
      </c>
      <c r="G64">
        <v>1.81</v>
      </c>
    </row>
    <row r="65" spans="1:7" x14ac:dyDescent="0.35">
      <c r="A65" s="14" t="s">
        <v>26</v>
      </c>
      <c r="B65" s="15">
        <v>50000</v>
      </c>
      <c r="C65" s="15">
        <v>5000000</v>
      </c>
      <c r="D65">
        <v>2.31</v>
      </c>
      <c r="F65" t="str">
        <f t="shared" si="0"/>
        <v>$250,001-$500,000500005000000</v>
      </c>
      <c r="G65">
        <v>2.31</v>
      </c>
    </row>
    <row r="66" spans="1:7" x14ac:dyDescent="0.35">
      <c r="A66" s="14" t="s">
        <v>26</v>
      </c>
      <c r="B66" s="15">
        <v>100000</v>
      </c>
      <c r="C66" s="15">
        <v>500000</v>
      </c>
      <c r="D66">
        <v>0.6</v>
      </c>
      <c r="F66" t="str">
        <f t="shared" ref="F66:F129" si="1">CONCATENATE(A66,B66,C66)</f>
        <v>$250,001-$500,000100000500000</v>
      </c>
      <c r="G66">
        <v>0.6</v>
      </c>
    </row>
    <row r="67" spans="1:7" x14ac:dyDescent="0.35">
      <c r="A67" s="14" t="s">
        <v>26</v>
      </c>
      <c r="B67" s="15">
        <v>100000</v>
      </c>
      <c r="C67" s="15">
        <v>1000000</v>
      </c>
      <c r="D67">
        <v>0.82</v>
      </c>
      <c r="F67" t="str">
        <f t="shared" si="1"/>
        <v>$250,001-$500,0001000001000000</v>
      </c>
      <c r="G67">
        <v>0.82</v>
      </c>
    </row>
    <row r="68" spans="1:7" x14ac:dyDescent="0.35">
      <c r="A68" s="14" t="s">
        <v>26</v>
      </c>
      <c r="B68" s="15">
        <v>100000</v>
      </c>
      <c r="C68" s="15">
        <v>2000000</v>
      </c>
      <c r="D68">
        <v>1.32</v>
      </c>
      <c r="F68" t="str">
        <f t="shared" si="1"/>
        <v>$250,001-$500,0001000002000000</v>
      </c>
      <c r="G68">
        <v>1.32</v>
      </c>
    </row>
    <row r="69" spans="1:7" x14ac:dyDescent="0.35">
      <c r="A69" s="14" t="s">
        <v>26</v>
      </c>
      <c r="B69" s="15">
        <v>100000</v>
      </c>
      <c r="C69" s="15">
        <v>3000000</v>
      </c>
      <c r="D69">
        <v>1.74</v>
      </c>
      <c r="F69" t="str">
        <f t="shared" si="1"/>
        <v>$250,001-$500,0001000003000000</v>
      </c>
      <c r="G69">
        <v>1.74</v>
      </c>
    </row>
    <row r="70" spans="1:7" x14ac:dyDescent="0.35">
      <c r="A70" s="14" t="s">
        <v>26</v>
      </c>
      <c r="B70" s="15">
        <v>100000</v>
      </c>
      <c r="C70" s="15">
        <v>5000000</v>
      </c>
      <c r="D70">
        <v>2.25</v>
      </c>
      <c r="F70" t="str">
        <f t="shared" si="1"/>
        <v>$250,001-$500,0001000005000000</v>
      </c>
      <c r="G70">
        <v>2.25</v>
      </c>
    </row>
    <row r="71" spans="1:7" x14ac:dyDescent="0.35">
      <c r="A71" s="11" t="s">
        <v>27</v>
      </c>
      <c r="B71" s="12">
        <v>1000</v>
      </c>
      <c r="C71" s="12">
        <v>500000</v>
      </c>
      <c r="D71">
        <v>0.85</v>
      </c>
      <c r="F71" t="str">
        <f t="shared" si="1"/>
        <v>$500,001-$1,000,0001000500000</v>
      </c>
      <c r="G71">
        <v>0.85</v>
      </c>
    </row>
    <row r="72" spans="1:7" x14ac:dyDescent="0.35">
      <c r="A72" s="11" t="s">
        <v>27</v>
      </c>
      <c r="B72" s="12">
        <v>1000</v>
      </c>
      <c r="C72" s="12">
        <v>1000000</v>
      </c>
      <c r="D72">
        <v>1.1000000000000001</v>
      </c>
      <c r="F72" t="str">
        <f t="shared" si="1"/>
        <v>$500,001-$1,000,00010001000000</v>
      </c>
      <c r="G72">
        <v>1.1000000000000001</v>
      </c>
    </row>
    <row r="73" spans="1:7" x14ac:dyDescent="0.35">
      <c r="A73" s="11" t="s">
        <v>27</v>
      </c>
      <c r="B73" s="12">
        <v>1000</v>
      </c>
      <c r="C73" s="12">
        <v>2000000</v>
      </c>
      <c r="D73">
        <v>99</v>
      </c>
      <c r="F73" t="str">
        <f t="shared" si="1"/>
        <v>$500,001-$1,000,00010002000000</v>
      </c>
      <c r="G73">
        <v>99</v>
      </c>
    </row>
    <row r="74" spans="1:7" x14ac:dyDescent="0.35">
      <c r="A74" s="11" t="s">
        <v>27</v>
      </c>
      <c r="B74" s="12">
        <v>1000</v>
      </c>
      <c r="C74" s="12">
        <v>3000000</v>
      </c>
      <c r="D74">
        <v>99</v>
      </c>
      <c r="F74" t="str">
        <f t="shared" si="1"/>
        <v>$500,001-$1,000,00010003000000</v>
      </c>
      <c r="G74">
        <v>99</v>
      </c>
    </row>
    <row r="75" spans="1:7" x14ac:dyDescent="0.35">
      <c r="A75" s="11" t="s">
        <v>27</v>
      </c>
      <c r="B75" s="12">
        <v>1000</v>
      </c>
      <c r="C75" s="12">
        <v>5000000</v>
      </c>
      <c r="D75">
        <v>99</v>
      </c>
      <c r="F75" t="str">
        <f t="shared" si="1"/>
        <v>$500,001-$1,000,00010005000000</v>
      </c>
      <c r="G75">
        <v>99</v>
      </c>
    </row>
    <row r="76" spans="1:7" x14ac:dyDescent="0.35">
      <c r="A76" s="11" t="s">
        <v>27</v>
      </c>
      <c r="B76" s="12">
        <v>2500</v>
      </c>
      <c r="C76" s="12">
        <v>500000</v>
      </c>
      <c r="D76">
        <v>0.8</v>
      </c>
      <c r="F76" t="str">
        <f t="shared" si="1"/>
        <v>$500,001-$1,000,0002500500000</v>
      </c>
      <c r="G76">
        <v>0.8</v>
      </c>
    </row>
    <row r="77" spans="1:7" x14ac:dyDescent="0.35">
      <c r="A77" s="11" t="s">
        <v>27</v>
      </c>
      <c r="B77" s="12">
        <v>2500</v>
      </c>
      <c r="C77" s="12">
        <v>1000000</v>
      </c>
      <c r="D77">
        <v>1.05</v>
      </c>
      <c r="F77" t="str">
        <f t="shared" si="1"/>
        <v>$500,001-$1,000,00025001000000</v>
      </c>
      <c r="G77">
        <v>1.05</v>
      </c>
    </row>
    <row r="78" spans="1:7" x14ac:dyDescent="0.35">
      <c r="A78" s="11" t="s">
        <v>27</v>
      </c>
      <c r="B78" s="12">
        <v>2500</v>
      </c>
      <c r="C78" s="12">
        <v>2000000</v>
      </c>
      <c r="D78">
        <v>1.57</v>
      </c>
      <c r="F78" t="str">
        <f t="shared" si="1"/>
        <v>$500,001-$1,000,00025002000000</v>
      </c>
      <c r="G78">
        <v>1.57</v>
      </c>
    </row>
    <row r="79" spans="1:7" x14ac:dyDescent="0.35">
      <c r="A79" s="11" t="s">
        <v>27</v>
      </c>
      <c r="B79" s="12">
        <v>2500</v>
      </c>
      <c r="C79" s="12">
        <v>3000000</v>
      </c>
      <c r="D79">
        <v>2</v>
      </c>
      <c r="F79" t="str">
        <f t="shared" si="1"/>
        <v>$500,001-$1,000,00025003000000</v>
      </c>
      <c r="G79">
        <v>2</v>
      </c>
    </row>
    <row r="80" spans="1:7" x14ac:dyDescent="0.35">
      <c r="A80" s="11" t="s">
        <v>27</v>
      </c>
      <c r="B80" s="12">
        <v>2500</v>
      </c>
      <c r="C80" s="12">
        <v>5000000</v>
      </c>
      <c r="D80">
        <v>2.5</v>
      </c>
      <c r="F80" t="str">
        <f t="shared" si="1"/>
        <v>$500,001-$1,000,00025005000000</v>
      </c>
      <c r="G80">
        <v>2.5</v>
      </c>
    </row>
    <row r="81" spans="1:7" x14ac:dyDescent="0.35">
      <c r="A81" s="11" t="s">
        <v>27</v>
      </c>
      <c r="B81" s="12">
        <v>5000</v>
      </c>
      <c r="C81" s="12">
        <v>500000</v>
      </c>
      <c r="D81">
        <v>0.76</v>
      </c>
      <c r="F81" t="str">
        <f t="shared" si="1"/>
        <v>$500,001-$1,000,0005000500000</v>
      </c>
      <c r="G81">
        <v>0.76</v>
      </c>
    </row>
    <row r="82" spans="1:7" x14ac:dyDescent="0.35">
      <c r="A82" s="11" t="s">
        <v>27</v>
      </c>
      <c r="B82" s="12">
        <v>5000</v>
      </c>
      <c r="C82" s="12">
        <v>1000000</v>
      </c>
      <c r="D82">
        <v>1</v>
      </c>
      <c r="F82" t="str">
        <f t="shared" si="1"/>
        <v>$500,001-$1,000,00050001000000</v>
      </c>
      <c r="G82">
        <v>1</v>
      </c>
    </row>
    <row r="83" spans="1:7" x14ac:dyDescent="0.35">
      <c r="A83" s="11" t="s">
        <v>27</v>
      </c>
      <c r="B83" s="12">
        <v>5000</v>
      </c>
      <c r="C83" s="12">
        <v>2000000</v>
      </c>
      <c r="D83">
        <v>1.5</v>
      </c>
      <c r="F83" t="str">
        <f t="shared" si="1"/>
        <v>$500,001-$1,000,00050002000000</v>
      </c>
      <c r="G83">
        <v>1.5</v>
      </c>
    </row>
    <row r="84" spans="1:7" x14ac:dyDescent="0.35">
      <c r="A84" s="11" t="s">
        <v>27</v>
      </c>
      <c r="B84" s="12">
        <v>5000</v>
      </c>
      <c r="C84" s="12">
        <v>3000000</v>
      </c>
      <c r="D84">
        <v>1.94</v>
      </c>
      <c r="F84" t="str">
        <f t="shared" si="1"/>
        <v>$500,001-$1,000,00050003000000</v>
      </c>
      <c r="G84">
        <v>1.94</v>
      </c>
    </row>
    <row r="85" spans="1:7" x14ac:dyDescent="0.35">
      <c r="A85" s="11" t="s">
        <v>27</v>
      </c>
      <c r="B85" s="12">
        <v>5000</v>
      </c>
      <c r="C85" s="12">
        <v>5000000</v>
      </c>
      <c r="D85">
        <v>2.4300000000000002</v>
      </c>
      <c r="F85" t="str">
        <f t="shared" si="1"/>
        <v>$500,001-$1,000,00050005000000</v>
      </c>
      <c r="G85">
        <v>2.4300000000000002</v>
      </c>
    </row>
    <row r="86" spans="1:7" x14ac:dyDescent="0.35">
      <c r="A86" s="11" t="s">
        <v>27</v>
      </c>
      <c r="B86" s="12">
        <v>10000</v>
      </c>
      <c r="C86" s="12">
        <v>500000</v>
      </c>
      <c r="D86">
        <v>0.73</v>
      </c>
      <c r="F86" t="str">
        <f t="shared" si="1"/>
        <v>$500,001-$1,000,00010000500000</v>
      </c>
      <c r="G86">
        <v>0.73</v>
      </c>
    </row>
    <row r="87" spans="1:7" x14ac:dyDescent="0.35">
      <c r="A87" s="11" t="s">
        <v>27</v>
      </c>
      <c r="B87" s="12">
        <v>10000</v>
      </c>
      <c r="C87" s="12">
        <v>1000000</v>
      </c>
      <c r="D87">
        <v>0.96</v>
      </c>
      <c r="F87" t="str">
        <f t="shared" si="1"/>
        <v>$500,001-$1,000,000100001000000</v>
      </c>
      <c r="G87">
        <v>0.96</v>
      </c>
    </row>
    <row r="88" spans="1:7" x14ac:dyDescent="0.35">
      <c r="A88" s="11" t="s">
        <v>27</v>
      </c>
      <c r="B88" s="12">
        <v>10000</v>
      </c>
      <c r="C88" s="12">
        <v>2000000</v>
      </c>
      <c r="D88">
        <v>1.46</v>
      </c>
      <c r="F88" t="str">
        <f t="shared" si="1"/>
        <v>$500,001-$1,000,000100002000000</v>
      </c>
      <c r="G88">
        <v>1.46</v>
      </c>
    </row>
    <row r="89" spans="1:7" x14ac:dyDescent="0.35">
      <c r="A89" s="11" t="s">
        <v>27</v>
      </c>
      <c r="B89" s="12">
        <v>10000</v>
      </c>
      <c r="C89" s="12">
        <v>3000000</v>
      </c>
      <c r="D89">
        <v>1.9</v>
      </c>
      <c r="F89" t="str">
        <f t="shared" si="1"/>
        <v>$500,001-$1,000,000100003000000</v>
      </c>
      <c r="G89">
        <v>1.9</v>
      </c>
    </row>
    <row r="90" spans="1:7" x14ac:dyDescent="0.35">
      <c r="A90" s="11" t="s">
        <v>27</v>
      </c>
      <c r="B90" s="12">
        <v>10000</v>
      </c>
      <c r="C90" s="12">
        <v>5000000</v>
      </c>
      <c r="D90">
        <v>2.4</v>
      </c>
      <c r="F90" t="str">
        <f t="shared" si="1"/>
        <v>$500,001-$1,000,000100005000000</v>
      </c>
      <c r="G90">
        <v>2.4</v>
      </c>
    </row>
    <row r="91" spans="1:7" x14ac:dyDescent="0.35">
      <c r="A91" s="11" t="s">
        <v>27</v>
      </c>
      <c r="B91" s="12">
        <v>25000</v>
      </c>
      <c r="C91" s="12">
        <v>500000</v>
      </c>
      <c r="D91">
        <v>0.7</v>
      </c>
      <c r="F91" t="str">
        <f t="shared" si="1"/>
        <v>$500,001-$1,000,00025000500000</v>
      </c>
      <c r="G91">
        <v>0.7</v>
      </c>
    </row>
    <row r="92" spans="1:7" x14ac:dyDescent="0.35">
      <c r="A92" s="11" t="s">
        <v>27</v>
      </c>
      <c r="B92" s="12">
        <v>25000</v>
      </c>
      <c r="C92" s="12">
        <v>1000000</v>
      </c>
      <c r="D92">
        <v>0.9</v>
      </c>
      <c r="F92" t="str">
        <f t="shared" si="1"/>
        <v>$500,001-$1,000,000250001000000</v>
      </c>
      <c r="G92">
        <v>0.9</v>
      </c>
    </row>
    <row r="93" spans="1:7" x14ac:dyDescent="0.35">
      <c r="A93" s="11" t="s">
        <v>27</v>
      </c>
      <c r="B93" s="12">
        <v>25000</v>
      </c>
      <c r="C93" s="12">
        <v>2000000</v>
      </c>
      <c r="D93">
        <v>1.42</v>
      </c>
      <c r="F93" t="str">
        <f t="shared" si="1"/>
        <v>$500,001-$1,000,000250002000000</v>
      </c>
      <c r="G93">
        <v>1.42</v>
      </c>
    </row>
    <row r="94" spans="1:7" x14ac:dyDescent="0.35">
      <c r="A94" s="11" t="s">
        <v>27</v>
      </c>
      <c r="B94" s="12">
        <v>25000</v>
      </c>
      <c r="C94" s="12">
        <v>3000000</v>
      </c>
      <c r="D94">
        <v>1.86</v>
      </c>
      <c r="F94" t="str">
        <f t="shared" si="1"/>
        <v>$500,001-$1,000,000250003000000</v>
      </c>
      <c r="G94">
        <v>1.86</v>
      </c>
    </row>
    <row r="95" spans="1:7" x14ac:dyDescent="0.35">
      <c r="A95" s="11" t="s">
        <v>27</v>
      </c>
      <c r="B95" s="12">
        <v>25000</v>
      </c>
      <c r="C95" s="12">
        <v>5000000</v>
      </c>
      <c r="D95">
        <v>2.36</v>
      </c>
      <c r="F95" t="str">
        <f t="shared" si="1"/>
        <v>$500,001-$1,000,000250005000000</v>
      </c>
      <c r="G95">
        <v>2.36</v>
      </c>
    </row>
    <row r="96" spans="1:7" x14ac:dyDescent="0.35">
      <c r="A96" s="11" t="s">
        <v>27</v>
      </c>
      <c r="B96" s="12">
        <v>50000</v>
      </c>
      <c r="C96" s="12">
        <v>500000</v>
      </c>
      <c r="D96">
        <v>0.65</v>
      </c>
      <c r="F96" t="str">
        <f t="shared" si="1"/>
        <v>$500,001-$1,000,00050000500000</v>
      </c>
      <c r="G96">
        <v>0.65</v>
      </c>
    </row>
    <row r="97" spans="1:7" x14ac:dyDescent="0.35">
      <c r="A97" s="11" t="s">
        <v>27</v>
      </c>
      <c r="B97" s="12">
        <v>50000</v>
      </c>
      <c r="C97" s="12">
        <v>1000000</v>
      </c>
      <c r="D97">
        <v>0.86</v>
      </c>
      <c r="F97" t="str">
        <f t="shared" si="1"/>
        <v>$500,001-$1,000,000500001000000</v>
      </c>
      <c r="G97">
        <v>0.86</v>
      </c>
    </row>
    <row r="98" spans="1:7" x14ac:dyDescent="0.35">
      <c r="A98" s="11" t="s">
        <v>27</v>
      </c>
      <c r="B98" s="12">
        <v>50000</v>
      </c>
      <c r="C98" s="12">
        <v>2000000</v>
      </c>
      <c r="D98">
        <v>1.38</v>
      </c>
      <c r="F98" t="str">
        <f t="shared" si="1"/>
        <v>$500,001-$1,000,000500002000000</v>
      </c>
      <c r="G98">
        <v>1.38</v>
      </c>
    </row>
    <row r="99" spans="1:7" x14ac:dyDescent="0.35">
      <c r="A99" s="11" t="s">
        <v>27</v>
      </c>
      <c r="B99" s="12">
        <v>50000</v>
      </c>
      <c r="C99" s="12">
        <v>3000000</v>
      </c>
      <c r="D99">
        <v>1.81</v>
      </c>
      <c r="F99" t="str">
        <f t="shared" si="1"/>
        <v>$500,001-$1,000,000500003000000</v>
      </c>
      <c r="G99">
        <v>1.81</v>
      </c>
    </row>
    <row r="100" spans="1:7" x14ac:dyDescent="0.35">
      <c r="A100" s="11" t="s">
        <v>27</v>
      </c>
      <c r="B100" s="12">
        <v>50000</v>
      </c>
      <c r="C100" s="12">
        <v>5000000</v>
      </c>
      <c r="D100">
        <v>2.31</v>
      </c>
      <c r="F100" t="str">
        <f t="shared" si="1"/>
        <v>$500,001-$1,000,000500005000000</v>
      </c>
      <c r="G100">
        <v>2.31</v>
      </c>
    </row>
    <row r="101" spans="1:7" x14ac:dyDescent="0.35">
      <c r="A101" s="11" t="s">
        <v>27</v>
      </c>
      <c r="B101" s="12">
        <v>100000</v>
      </c>
      <c r="C101" s="12">
        <v>500000</v>
      </c>
      <c r="D101">
        <v>0.6</v>
      </c>
      <c r="F101" t="str">
        <f t="shared" si="1"/>
        <v>$500,001-$1,000,000100000500000</v>
      </c>
      <c r="G101">
        <v>0.6</v>
      </c>
    </row>
    <row r="102" spans="1:7" x14ac:dyDescent="0.35">
      <c r="A102" s="11" t="s">
        <v>27</v>
      </c>
      <c r="B102" s="12">
        <v>100000</v>
      </c>
      <c r="C102" s="12">
        <v>1000000</v>
      </c>
      <c r="D102">
        <v>0.82</v>
      </c>
      <c r="F102" t="str">
        <f t="shared" si="1"/>
        <v>$500,001-$1,000,0001000001000000</v>
      </c>
      <c r="G102">
        <v>0.82</v>
      </c>
    </row>
    <row r="103" spans="1:7" x14ac:dyDescent="0.35">
      <c r="A103" s="11" t="s">
        <v>27</v>
      </c>
      <c r="B103" s="12">
        <v>100000</v>
      </c>
      <c r="C103" s="12">
        <v>2000000</v>
      </c>
      <c r="D103">
        <v>1.32</v>
      </c>
      <c r="F103" t="str">
        <f t="shared" si="1"/>
        <v>$500,001-$1,000,0001000002000000</v>
      </c>
      <c r="G103">
        <v>1.32</v>
      </c>
    </row>
    <row r="104" spans="1:7" x14ac:dyDescent="0.35">
      <c r="A104" s="11" t="s">
        <v>27</v>
      </c>
      <c r="B104" s="12">
        <v>100000</v>
      </c>
      <c r="C104" s="12">
        <v>3000000</v>
      </c>
      <c r="D104">
        <v>1.74</v>
      </c>
      <c r="F104" t="str">
        <f t="shared" si="1"/>
        <v>$500,001-$1,000,0001000003000000</v>
      </c>
      <c r="G104">
        <v>1.74</v>
      </c>
    </row>
    <row r="105" spans="1:7" x14ac:dyDescent="0.35">
      <c r="A105" s="11" t="s">
        <v>27</v>
      </c>
      <c r="B105" s="12">
        <v>100000</v>
      </c>
      <c r="C105" s="12">
        <v>5000000</v>
      </c>
      <c r="D105">
        <v>2.25</v>
      </c>
      <c r="F105" t="str">
        <f t="shared" si="1"/>
        <v>$500,001-$1,000,0001000005000000</v>
      </c>
      <c r="G105">
        <v>2.25</v>
      </c>
    </row>
    <row r="106" spans="1:7" x14ac:dyDescent="0.35">
      <c r="A106" s="18" t="s">
        <v>28</v>
      </c>
      <c r="B106" s="19">
        <v>1000</v>
      </c>
      <c r="C106" s="19">
        <v>500000</v>
      </c>
      <c r="D106">
        <v>0.85</v>
      </c>
      <c r="F106" t="str">
        <f t="shared" si="1"/>
        <v>$1,000,001-$3,000,0001000500000</v>
      </c>
      <c r="G106">
        <v>0.85</v>
      </c>
    </row>
    <row r="107" spans="1:7" x14ac:dyDescent="0.35">
      <c r="A107" s="18" t="s">
        <v>28</v>
      </c>
      <c r="B107" s="19">
        <v>1000</v>
      </c>
      <c r="C107" s="19">
        <v>1000000</v>
      </c>
      <c r="D107">
        <v>1.1000000000000001</v>
      </c>
      <c r="F107" t="str">
        <f t="shared" si="1"/>
        <v>$1,000,001-$3,000,00010001000000</v>
      </c>
      <c r="G107">
        <v>1.1000000000000001</v>
      </c>
    </row>
    <row r="108" spans="1:7" x14ac:dyDescent="0.35">
      <c r="A108" s="18" t="s">
        <v>28</v>
      </c>
      <c r="B108" s="19">
        <v>1000</v>
      </c>
      <c r="C108" s="19">
        <v>2000000</v>
      </c>
      <c r="D108">
        <v>99</v>
      </c>
      <c r="F108" t="str">
        <f t="shared" si="1"/>
        <v>$1,000,001-$3,000,00010002000000</v>
      </c>
      <c r="G108">
        <v>99</v>
      </c>
    </row>
    <row r="109" spans="1:7" x14ac:dyDescent="0.35">
      <c r="A109" s="18" t="s">
        <v>28</v>
      </c>
      <c r="B109" s="19">
        <v>1000</v>
      </c>
      <c r="C109" s="19">
        <v>3000000</v>
      </c>
      <c r="D109">
        <v>99</v>
      </c>
      <c r="F109" t="str">
        <f t="shared" si="1"/>
        <v>$1,000,001-$3,000,00010003000000</v>
      </c>
      <c r="G109">
        <v>99</v>
      </c>
    </row>
    <row r="110" spans="1:7" x14ac:dyDescent="0.35">
      <c r="A110" s="18" t="s">
        <v>28</v>
      </c>
      <c r="B110" s="19">
        <v>1000</v>
      </c>
      <c r="C110" s="19">
        <v>5000000</v>
      </c>
      <c r="D110">
        <v>99</v>
      </c>
      <c r="F110" t="str">
        <f t="shared" si="1"/>
        <v>$1,000,001-$3,000,00010005000000</v>
      </c>
      <c r="G110">
        <v>99</v>
      </c>
    </row>
    <row r="111" spans="1:7" x14ac:dyDescent="0.35">
      <c r="A111" s="18" t="s">
        <v>28</v>
      </c>
      <c r="B111" s="19">
        <v>2500</v>
      </c>
      <c r="C111" s="19">
        <v>500000</v>
      </c>
      <c r="D111">
        <v>0.8</v>
      </c>
      <c r="F111" t="str">
        <f t="shared" si="1"/>
        <v>$1,000,001-$3,000,0002500500000</v>
      </c>
      <c r="G111">
        <v>0.8</v>
      </c>
    </row>
    <row r="112" spans="1:7" x14ac:dyDescent="0.35">
      <c r="A112" s="18" t="s">
        <v>28</v>
      </c>
      <c r="B112" s="19">
        <v>2500</v>
      </c>
      <c r="C112" s="19">
        <v>1000000</v>
      </c>
      <c r="D112">
        <v>1.05</v>
      </c>
      <c r="F112" t="str">
        <f t="shared" si="1"/>
        <v>$1,000,001-$3,000,00025001000000</v>
      </c>
      <c r="G112">
        <v>1.05</v>
      </c>
    </row>
    <row r="113" spans="1:7" x14ac:dyDescent="0.35">
      <c r="A113" s="18" t="s">
        <v>28</v>
      </c>
      <c r="B113" s="19">
        <v>2500</v>
      </c>
      <c r="C113" s="19">
        <v>2000000</v>
      </c>
      <c r="D113">
        <v>1.57</v>
      </c>
      <c r="F113" t="str">
        <f t="shared" si="1"/>
        <v>$1,000,001-$3,000,00025002000000</v>
      </c>
      <c r="G113">
        <v>1.57</v>
      </c>
    </row>
    <row r="114" spans="1:7" x14ac:dyDescent="0.35">
      <c r="A114" s="18" t="s">
        <v>28</v>
      </c>
      <c r="B114" s="19">
        <v>2500</v>
      </c>
      <c r="C114" s="19">
        <v>3000000</v>
      </c>
      <c r="D114">
        <v>2</v>
      </c>
      <c r="F114" t="str">
        <f t="shared" si="1"/>
        <v>$1,000,001-$3,000,00025003000000</v>
      </c>
      <c r="G114">
        <v>2</v>
      </c>
    </row>
    <row r="115" spans="1:7" x14ac:dyDescent="0.35">
      <c r="A115" s="18" t="s">
        <v>28</v>
      </c>
      <c r="B115" s="19">
        <v>2500</v>
      </c>
      <c r="C115" s="19">
        <v>5000000</v>
      </c>
      <c r="D115">
        <v>2.5</v>
      </c>
      <c r="F115" t="str">
        <f t="shared" si="1"/>
        <v>$1,000,001-$3,000,00025005000000</v>
      </c>
      <c r="G115">
        <v>2.5</v>
      </c>
    </row>
    <row r="116" spans="1:7" x14ac:dyDescent="0.35">
      <c r="A116" s="18" t="s">
        <v>28</v>
      </c>
      <c r="B116" s="19">
        <v>5000</v>
      </c>
      <c r="C116" s="19">
        <v>500000</v>
      </c>
      <c r="D116">
        <v>0.76</v>
      </c>
      <c r="F116" t="str">
        <f t="shared" si="1"/>
        <v>$1,000,001-$3,000,0005000500000</v>
      </c>
      <c r="G116">
        <v>0.76</v>
      </c>
    </row>
    <row r="117" spans="1:7" x14ac:dyDescent="0.35">
      <c r="A117" s="18" t="s">
        <v>28</v>
      </c>
      <c r="B117" s="19">
        <v>5000</v>
      </c>
      <c r="C117" s="19">
        <v>1000000</v>
      </c>
      <c r="D117">
        <v>1</v>
      </c>
      <c r="F117" t="str">
        <f t="shared" si="1"/>
        <v>$1,000,001-$3,000,00050001000000</v>
      </c>
      <c r="G117">
        <v>1</v>
      </c>
    </row>
    <row r="118" spans="1:7" x14ac:dyDescent="0.35">
      <c r="A118" s="18" t="s">
        <v>28</v>
      </c>
      <c r="B118" s="19">
        <v>5000</v>
      </c>
      <c r="C118" s="19">
        <v>2000000</v>
      </c>
      <c r="D118">
        <v>1.5</v>
      </c>
      <c r="F118" t="str">
        <f t="shared" si="1"/>
        <v>$1,000,001-$3,000,00050002000000</v>
      </c>
      <c r="G118">
        <v>1.5</v>
      </c>
    </row>
    <row r="119" spans="1:7" x14ac:dyDescent="0.35">
      <c r="A119" s="18" t="s">
        <v>28</v>
      </c>
      <c r="B119" s="19">
        <v>5000</v>
      </c>
      <c r="C119" s="19">
        <v>3000000</v>
      </c>
      <c r="D119">
        <v>1.94</v>
      </c>
      <c r="F119" t="str">
        <f t="shared" si="1"/>
        <v>$1,000,001-$3,000,00050003000000</v>
      </c>
      <c r="G119">
        <v>1.94</v>
      </c>
    </row>
    <row r="120" spans="1:7" x14ac:dyDescent="0.35">
      <c r="A120" s="18" t="s">
        <v>28</v>
      </c>
      <c r="B120" s="19">
        <v>5000</v>
      </c>
      <c r="C120" s="19">
        <v>5000000</v>
      </c>
      <c r="D120">
        <v>2.4300000000000002</v>
      </c>
      <c r="F120" t="str">
        <f t="shared" si="1"/>
        <v>$1,000,001-$3,000,00050005000000</v>
      </c>
      <c r="G120">
        <v>2.4300000000000002</v>
      </c>
    </row>
    <row r="121" spans="1:7" x14ac:dyDescent="0.35">
      <c r="A121" s="18" t="s">
        <v>28</v>
      </c>
      <c r="B121" s="19">
        <v>10000</v>
      </c>
      <c r="C121" s="19">
        <v>500000</v>
      </c>
      <c r="D121">
        <v>0.73</v>
      </c>
      <c r="F121" t="str">
        <f t="shared" si="1"/>
        <v>$1,000,001-$3,000,00010000500000</v>
      </c>
      <c r="G121">
        <v>0.73</v>
      </c>
    </row>
    <row r="122" spans="1:7" x14ac:dyDescent="0.35">
      <c r="A122" s="18" t="s">
        <v>28</v>
      </c>
      <c r="B122" s="19">
        <v>10000</v>
      </c>
      <c r="C122" s="19">
        <v>1000000</v>
      </c>
      <c r="D122">
        <v>0.96</v>
      </c>
      <c r="F122" t="str">
        <f t="shared" si="1"/>
        <v>$1,000,001-$3,000,000100001000000</v>
      </c>
      <c r="G122">
        <v>0.96</v>
      </c>
    </row>
    <row r="123" spans="1:7" x14ac:dyDescent="0.35">
      <c r="A123" s="18" t="s">
        <v>28</v>
      </c>
      <c r="B123" s="19">
        <v>10000</v>
      </c>
      <c r="C123" s="19">
        <v>2000000</v>
      </c>
      <c r="D123">
        <v>1.46</v>
      </c>
      <c r="F123" t="str">
        <f t="shared" si="1"/>
        <v>$1,000,001-$3,000,000100002000000</v>
      </c>
      <c r="G123">
        <v>1.46</v>
      </c>
    </row>
    <row r="124" spans="1:7" x14ac:dyDescent="0.35">
      <c r="A124" s="18" t="s">
        <v>28</v>
      </c>
      <c r="B124" s="19">
        <v>10000</v>
      </c>
      <c r="C124" s="19">
        <v>3000000</v>
      </c>
      <c r="D124">
        <v>1.9</v>
      </c>
      <c r="F124" t="str">
        <f t="shared" si="1"/>
        <v>$1,000,001-$3,000,000100003000000</v>
      </c>
      <c r="G124">
        <v>1.9</v>
      </c>
    </row>
    <row r="125" spans="1:7" x14ac:dyDescent="0.35">
      <c r="A125" s="18" t="s">
        <v>28</v>
      </c>
      <c r="B125" s="19">
        <v>10000</v>
      </c>
      <c r="C125" s="19">
        <v>5000000</v>
      </c>
      <c r="D125">
        <v>2.4</v>
      </c>
      <c r="F125" t="str">
        <f t="shared" si="1"/>
        <v>$1,000,001-$3,000,000100005000000</v>
      </c>
      <c r="G125">
        <v>2.4</v>
      </c>
    </row>
    <row r="126" spans="1:7" x14ac:dyDescent="0.35">
      <c r="A126" s="18" t="s">
        <v>28</v>
      </c>
      <c r="B126" s="19">
        <v>25000</v>
      </c>
      <c r="C126" s="19">
        <v>500000</v>
      </c>
      <c r="D126">
        <v>0.7</v>
      </c>
      <c r="F126" t="str">
        <f t="shared" si="1"/>
        <v>$1,000,001-$3,000,00025000500000</v>
      </c>
      <c r="G126">
        <v>0.7</v>
      </c>
    </row>
    <row r="127" spans="1:7" x14ac:dyDescent="0.35">
      <c r="A127" s="18" t="s">
        <v>28</v>
      </c>
      <c r="B127" s="19">
        <v>25000</v>
      </c>
      <c r="C127" s="19">
        <v>1000000</v>
      </c>
      <c r="D127">
        <v>0.9</v>
      </c>
      <c r="F127" t="str">
        <f t="shared" si="1"/>
        <v>$1,000,001-$3,000,000250001000000</v>
      </c>
      <c r="G127">
        <v>0.9</v>
      </c>
    </row>
    <row r="128" spans="1:7" x14ac:dyDescent="0.35">
      <c r="A128" s="18" t="s">
        <v>28</v>
      </c>
      <c r="B128" s="19">
        <v>25000</v>
      </c>
      <c r="C128" s="19">
        <v>2000000</v>
      </c>
      <c r="D128">
        <v>1.42</v>
      </c>
      <c r="F128" t="str">
        <f t="shared" si="1"/>
        <v>$1,000,001-$3,000,000250002000000</v>
      </c>
      <c r="G128">
        <v>1.42</v>
      </c>
    </row>
    <row r="129" spans="1:7" x14ac:dyDescent="0.35">
      <c r="A129" s="18" t="s">
        <v>28</v>
      </c>
      <c r="B129" s="19">
        <v>25000</v>
      </c>
      <c r="C129" s="19">
        <v>3000000</v>
      </c>
      <c r="D129">
        <v>1.86</v>
      </c>
      <c r="F129" t="str">
        <f t="shared" si="1"/>
        <v>$1,000,001-$3,000,000250003000000</v>
      </c>
      <c r="G129">
        <v>1.86</v>
      </c>
    </row>
    <row r="130" spans="1:7" x14ac:dyDescent="0.35">
      <c r="A130" s="18" t="s">
        <v>28</v>
      </c>
      <c r="B130" s="19">
        <v>25000</v>
      </c>
      <c r="C130" s="19">
        <v>5000000</v>
      </c>
      <c r="D130">
        <v>2.36</v>
      </c>
      <c r="F130" t="str">
        <f t="shared" ref="F130:F193" si="2">CONCATENATE(A130,B130,C130)</f>
        <v>$1,000,001-$3,000,000250005000000</v>
      </c>
      <c r="G130">
        <v>2.36</v>
      </c>
    </row>
    <row r="131" spans="1:7" x14ac:dyDescent="0.35">
      <c r="A131" s="18" t="s">
        <v>28</v>
      </c>
      <c r="B131" s="19">
        <v>50000</v>
      </c>
      <c r="C131" s="19">
        <v>500000</v>
      </c>
      <c r="D131">
        <v>0.65</v>
      </c>
      <c r="F131" t="str">
        <f t="shared" si="2"/>
        <v>$1,000,001-$3,000,00050000500000</v>
      </c>
      <c r="G131">
        <v>0.65</v>
      </c>
    </row>
    <row r="132" spans="1:7" x14ac:dyDescent="0.35">
      <c r="A132" s="18" t="s">
        <v>28</v>
      </c>
      <c r="B132" s="19">
        <v>50000</v>
      </c>
      <c r="C132" s="19">
        <v>1000000</v>
      </c>
      <c r="D132">
        <v>0.86</v>
      </c>
      <c r="F132" t="str">
        <f t="shared" si="2"/>
        <v>$1,000,001-$3,000,000500001000000</v>
      </c>
      <c r="G132">
        <v>0.86</v>
      </c>
    </row>
    <row r="133" spans="1:7" x14ac:dyDescent="0.35">
      <c r="A133" s="18" t="s">
        <v>28</v>
      </c>
      <c r="B133" s="19">
        <v>50000</v>
      </c>
      <c r="C133" s="19">
        <v>2000000</v>
      </c>
      <c r="D133">
        <v>1.38</v>
      </c>
      <c r="F133" t="str">
        <f t="shared" si="2"/>
        <v>$1,000,001-$3,000,000500002000000</v>
      </c>
      <c r="G133">
        <v>1.38</v>
      </c>
    </row>
    <row r="134" spans="1:7" x14ac:dyDescent="0.35">
      <c r="A134" s="18" t="s">
        <v>28</v>
      </c>
      <c r="B134" s="19">
        <v>50000</v>
      </c>
      <c r="C134" s="19">
        <v>3000000</v>
      </c>
      <c r="D134">
        <v>1.81</v>
      </c>
      <c r="F134" t="str">
        <f t="shared" si="2"/>
        <v>$1,000,001-$3,000,000500003000000</v>
      </c>
      <c r="G134">
        <v>1.81</v>
      </c>
    </row>
    <row r="135" spans="1:7" x14ac:dyDescent="0.35">
      <c r="A135" s="18" t="s">
        <v>28</v>
      </c>
      <c r="B135" s="19">
        <v>50000</v>
      </c>
      <c r="C135" s="19">
        <v>5000000</v>
      </c>
      <c r="D135">
        <v>2.31</v>
      </c>
      <c r="F135" t="str">
        <f t="shared" si="2"/>
        <v>$1,000,001-$3,000,000500005000000</v>
      </c>
      <c r="G135">
        <v>2.31</v>
      </c>
    </row>
    <row r="136" spans="1:7" x14ac:dyDescent="0.35">
      <c r="A136" s="18" t="s">
        <v>28</v>
      </c>
      <c r="B136" s="19">
        <v>100000</v>
      </c>
      <c r="C136" s="19">
        <v>500000</v>
      </c>
      <c r="D136">
        <v>0.6</v>
      </c>
      <c r="F136" t="str">
        <f t="shared" si="2"/>
        <v>$1,000,001-$3,000,000100000500000</v>
      </c>
      <c r="G136">
        <v>0.6</v>
      </c>
    </row>
    <row r="137" spans="1:7" x14ac:dyDescent="0.35">
      <c r="A137" s="18" t="s">
        <v>28</v>
      </c>
      <c r="B137" s="19">
        <v>100000</v>
      </c>
      <c r="C137" s="19">
        <v>1000000</v>
      </c>
      <c r="D137">
        <v>0.82</v>
      </c>
      <c r="F137" t="str">
        <f t="shared" si="2"/>
        <v>$1,000,001-$3,000,0001000001000000</v>
      </c>
      <c r="G137">
        <v>0.82</v>
      </c>
    </row>
    <row r="138" spans="1:7" x14ac:dyDescent="0.35">
      <c r="A138" s="18" t="s">
        <v>28</v>
      </c>
      <c r="B138" s="19">
        <v>100000</v>
      </c>
      <c r="C138" s="19">
        <v>2000000</v>
      </c>
      <c r="D138">
        <v>1.32</v>
      </c>
      <c r="F138" t="str">
        <f t="shared" si="2"/>
        <v>$1,000,001-$3,000,0001000002000000</v>
      </c>
      <c r="G138">
        <v>1.32</v>
      </c>
    </row>
    <row r="139" spans="1:7" x14ac:dyDescent="0.35">
      <c r="A139" s="18" t="s">
        <v>28</v>
      </c>
      <c r="B139" s="19">
        <v>100000</v>
      </c>
      <c r="C139" s="19">
        <v>3000000</v>
      </c>
      <c r="D139">
        <v>1.74</v>
      </c>
      <c r="F139" t="str">
        <f t="shared" si="2"/>
        <v>$1,000,001-$3,000,0001000003000000</v>
      </c>
      <c r="G139">
        <v>1.74</v>
      </c>
    </row>
    <row r="140" spans="1:7" x14ac:dyDescent="0.35">
      <c r="A140" s="18" t="s">
        <v>28</v>
      </c>
      <c r="B140" s="19">
        <v>100000</v>
      </c>
      <c r="C140" s="19">
        <v>5000000</v>
      </c>
      <c r="D140">
        <v>2.25</v>
      </c>
      <c r="F140" t="str">
        <f t="shared" si="2"/>
        <v>$1,000,001-$3,000,0001000005000000</v>
      </c>
      <c r="G140">
        <v>2.25</v>
      </c>
    </row>
    <row r="141" spans="1:7" x14ac:dyDescent="0.35">
      <c r="A141" s="16" t="s">
        <v>29</v>
      </c>
      <c r="B141" s="17">
        <v>1000</v>
      </c>
      <c r="C141" s="17">
        <v>500000</v>
      </c>
      <c r="D141" s="17">
        <v>99</v>
      </c>
      <c r="F141" t="str">
        <f t="shared" si="2"/>
        <v>$3,000,001-$6,000,0001000500000</v>
      </c>
      <c r="G141" s="17">
        <v>99</v>
      </c>
    </row>
    <row r="142" spans="1:7" x14ac:dyDescent="0.35">
      <c r="A142" s="16" t="s">
        <v>29</v>
      </c>
      <c r="B142" s="17">
        <v>1000</v>
      </c>
      <c r="C142" s="17">
        <v>1000000</v>
      </c>
      <c r="D142" s="17">
        <v>99</v>
      </c>
      <c r="F142" t="str">
        <f t="shared" si="2"/>
        <v>$3,000,001-$6,000,00010001000000</v>
      </c>
      <c r="G142" s="17">
        <v>99</v>
      </c>
    </row>
    <row r="143" spans="1:7" x14ac:dyDescent="0.35">
      <c r="A143" s="16" t="s">
        <v>29</v>
      </c>
      <c r="B143" s="17">
        <v>1000</v>
      </c>
      <c r="C143" s="17">
        <v>2000000</v>
      </c>
      <c r="D143" s="17">
        <v>99</v>
      </c>
      <c r="F143" t="str">
        <f t="shared" si="2"/>
        <v>$3,000,001-$6,000,00010002000000</v>
      </c>
      <c r="G143" s="17">
        <v>99</v>
      </c>
    </row>
    <row r="144" spans="1:7" x14ac:dyDescent="0.35">
      <c r="A144" s="16" t="s">
        <v>29</v>
      </c>
      <c r="B144" s="17">
        <v>1000</v>
      </c>
      <c r="C144" s="17">
        <v>3000000</v>
      </c>
      <c r="D144" s="17">
        <v>99</v>
      </c>
      <c r="F144" t="str">
        <f t="shared" si="2"/>
        <v>$3,000,001-$6,000,00010003000000</v>
      </c>
      <c r="G144" s="17">
        <v>99</v>
      </c>
    </row>
    <row r="145" spans="1:7" x14ac:dyDescent="0.35">
      <c r="A145" s="16" t="s">
        <v>29</v>
      </c>
      <c r="B145" s="17">
        <v>1000</v>
      </c>
      <c r="C145" s="17">
        <v>5000000</v>
      </c>
      <c r="D145" s="17">
        <v>99</v>
      </c>
      <c r="F145" t="str">
        <f t="shared" si="2"/>
        <v>$3,000,001-$6,000,00010005000000</v>
      </c>
      <c r="G145" s="17">
        <v>99</v>
      </c>
    </row>
    <row r="146" spans="1:7" x14ac:dyDescent="0.35">
      <c r="A146" s="16" t="s">
        <v>29</v>
      </c>
      <c r="B146" s="17">
        <v>2500</v>
      </c>
      <c r="C146" s="17">
        <v>500000</v>
      </c>
      <c r="D146" s="17">
        <v>0.85</v>
      </c>
      <c r="F146" t="str">
        <f t="shared" si="2"/>
        <v>$3,000,001-$6,000,0002500500000</v>
      </c>
      <c r="G146" s="17">
        <v>0.85</v>
      </c>
    </row>
    <row r="147" spans="1:7" x14ac:dyDescent="0.35">
      <c r="A147" s="16" t="s">
        <v>29</v>
      </c>
      <c r="B147" s="17">
        <v>2500</v>
      </c>
      <c r="C147" s="17">
        <v>1000000</v>
      </c>
      <c r="D147" s="17">
        <v>1.1000000000000001</v>
      </c>
      <c r="F147" t="str">
        <f t="shared" si="2"/>
        <v>$3,000,001-$6,000,00025001000000</v>
      </c>
      <c r="G147" s="17">
        <v>1.1000000000000001</v>
      </c>
    </row>
    <row r="148" spans="1:7" x14ac:dyDescent="0.35">
      <c r="A148" s="16" t="s">
        <v>29</v>
      </c>
      <c r="B148" s="17">
        <v>2500</v>
      </c>
      <c r="C148" s="17">
        <v>2000000</v>
      </c>
      <c r="D148" s="17">
        <v>1.62</v>
      </c>
      <c r="F148" t="str">
        <f t="shared" si="2"/>
        <v>$3,000,001-$6,000,00025002000000</v>
      </c>
      <c r="G148" s="17">
        <v>1.62</v>
      </c>
    </row>
    <row r="149" spans="1:7" x14ac:dyDescent="0.35">
      <c r="A149" s="16" t="s">
        <v>29</v>
      </c>
      <c r="B149" s="17">
        <v>2500</v>
      </c>
      <c r="C149" s="17">
        <v>3000000</v>
      </c>
      <c r="D149" s="17">
        <v>2.0499999999999998</v>
      </c>
      <c r="F149" t="str">
        <f t="shared" si="2"/>
        <v>$3,000,001-$6,000,00025003000000</v>
      </c>
      <c r="G149" s="17">
        <v>2.0499999999999998</v>
      </c>
    </row>
    <row r="150" spans="1:7" x14ac:dyDescent="0.35">
      <c r="A150" s="16" t="s">
        <v>29</v>
      </c>
      <c r="B150" s="17">
        <v>2500</v>
      </c>
      <c r="C150" s="17">
        <v>5000000</v>
      </c>
      <c r="D150" s="17">
        <v>2.5499999999999998</v>
      </c>
      <c r="F150" t="str">
        <f t="shared" si="2"/>
        <v>$3,000,001-$6,000,00025005000000</v>
      </c>
      <c r="G150" s="17">
        <v>2.5499999999999998</v>
      </c>
    </row>
    <row r="151" spans="1:7" x14ac:dyDescent="0.35">
      <c r="A151" s="16" t="s">
        <v>29</v>
      </c>
      <c r="B151" s="17">
        <v>5000</v>
      </c>
      <c r="C151" s="17">
        <v>500000</v>
      </c>
      <c r="D151" s="17">
        <v>0.8</v>
      </c>
      <c r="F151" t="str">
        <f t="shared" si="2"/>
        <v>$3,000,001-$6,000,0005000500000</v>
      </c>
      <c r="G151" s="17">
        <v>0.8</v>
      </c>
    </row>
    <row r="152" spans="1:7" x14ac:dyDescent="0.35">
      <c r="A152" s="16" t="s">
        <v>29</v>
      </c>
      <c r="B152" s="17">
        <v>5000</v>
      </c>
      <c r="C152" s="17">
        <v>1000000</v>
      </c>
      <c r="D152" s="17">
        <v>1.04</v>
      </c>
      <c r="F152" t="str">
        <f t="shared" si="2"/>
        <v>$3,000,001-$6,000,00050001000000</v>
      </c>
      <c r="G152" s="17">
        <v>1.04</v>
      </c>
    </row>
    <row r="153" spans="1:7" x14ac:dyDescent="0.35">
      <c r="A153" s="16" t="s">
        <v>29</v>
      </c>
      <c r="B153" s="17">
        <v>5000</v>
      </c>
      <c r="C153" s="17">
        <v>2000000</v>
      </c>
      <c r="D153" s="17">
        <v>1.54</v>
      </c>
      <c r="F153" t="str">
        <f t="shared" si="2"/>
        <v>$3,000,001-$6,000,00050002000000</v>
      </c>
      <c r="G153" s="17">
        <v>1.54</v>
      </c>
    </row>
    <row r="154" spans="1:7" x14ac:dyDescent="0.35">
      <c r="A154" s="16" t="s">
        <v>29</v>
      </c>
      <c r="B154" s="17">
        <v>5000</v>
      </c>
      <c r="C154" s="17">
        <v>3000000</v>
      </c>
      <c r="D154" s="17">
        <v>1.98</v>
      </c>
      <c r="F154" t="str">
        <f t="shared" si="2"/>
        <v>$3,000,001-$6,000,00050003000000</v>
      </c>
      <c r="G154" s="17">
        <v>1.98</v>
      </c>
    </row>
    <row r="155" spans="1:7" x14ac:dyDescent="0.35">
      <c r="A155" s="16" t="s">
        <v>29</v>
      </c>
      <c r="B155" s="17">
        <v>5000</v>
      </c>
      <c r="C155" s="17">
        <v>5000000</v>
      </c>
      <c r="D155" s="17">
        <v>2.4700000000000002</v>
      </c>
      <c r="F155" t="str">
        <f t="shared" si="2"/>
        <v>$3,000,001-$6,000,00050005000000</v>
      </c>
      <c r="G155" s="17">
        <v>2.4700000000000002</v>
      </c>
    </row>
    <row r="156" spans="1:7" x14ac:dyDescent="0.35">
      <c r="A156" s="16" t="s">
        <v>29</v>
      </c>
      <c r="B156" s="17">
        <v>10000</v>
      </c>
      <c r="C156" s="17">
        <v>500000</v>
      </c>
      <c r="D156" s="17">
        <v>0.77</v>
      </c>
      <c r="F156" t="str">
        <f t="shared" si="2"/>
        <v>$3,000,001-$6,000,00010000500000</v>
      </c>
      <c r="G156" s="17">
        <v>0.77</v>
      </c>
    </row>
    <row r="157" spans="1:7" x14ac:dyDescent="0.35">
      <c r="A157" s="16" t="s">
        <v>29</v>
      </c>
      <c r="B157" s="17">
        <v>10000</v>
      </c>
      <c r="C157" s="17">
        <v>1000000</v>
      </c>
      <c r="D157" s="17">
        <v>1</v>
      </c>
      <c r="F157" t="str">
        <f t="shared" si="2"/>
        <v>$3,000,001-$6,000,000100001000000</v>
      </c>
      <c r="G157" s="17">
        <v>1</v>
      </c>
    </row>
    <row r="158" spans="1:7" x14ac:dyDescent="0.35">
      <c r="A158" s="16" t="s">
        <v>29</v>
      </c>
      <c r="B158" s="17">
        <v>10000</v>
      </c>
      <c r="C158" s="17">
        <v>2000000</v>
      </c>
      <c r="D158" s="17">
        <v>1.5</v>
      </c>
      <c r="F158" t="str">
        <f t="shared" si="2"/>
        <v>$3,000,001-$6,000,000100002000000</v>
      </c>
      <c r="G158" s="17">
        <v>1.5</v>
      </c>
    </row>
    <row r="159" spans="1:7" x14ac:dyDescent="0.35">
      <c r="A159" s="16" t="s">
        <v>29</v>
      </c>
      <c r="B159" s="17">
        <v>10000</v>
      </c>
      <c r="C159" s="17">
        <v>3000000</v>
      </c>
      <c r="D159" s="17">
        <v>1.94</v>
      </c>
      <c r="F159" t="str">
        <f t="shared" si="2"/>
        <v>$3,000,001-$6,000,000100003000000</v>
      </c>
      <c r="G159" s="17">
        <v>1.94</v>
      </c>
    </row>
    <row r="160" spans="1:7" x14ac:dyDescent="0.35">
      <c r="A160" s="16" t="s">
        <v>29</v>
      </c>
      <c r="B160" s="17">
        <v>10000</v>
      </c>
      <c r="C160" s="17">
        <v>5000000</v>
      </c>
      <c r="D160" s="17">
        <v>2.44</v>
      </c>
      <c r="F160" t="str">
        <f t="shared" si="2"/>
        <v>$3,000,001-$6,000,000100005000000</v>
      </c>
      <c r="G160" s="17">
        <v>2.44</v>
      </c>
    </row>
    <row r="161" spans="1:7" x14ac:dyDescent="0.35">
      <c r="A161" s="16" t="s">
        <v>29</v>
      </c>
      <c r="B161" s="17">
        <v>25000</v>
      </c>
      <c r="C161" s="17">
        <v>500000</v>
      </c>
      <c r="D161" s="17">
        <v>0.74</v>
      </c>
      <c r="F161" t="str">
        <f t="shared" si="2"/>
        <v>$3,000,001-$6,000,00025000500000</v>
      </c>
      <c r="G161" s="17">
        <v>0.74</v>
      </c>
    </row>
    <row r="162" spans="1:7" x14ac:dyDescent="0.35">
      <c r="A162" s="16" t="s">
        <v>29</v>
      </c>
      <c r="B162" s="17">
        <v>25000</v>
      </c>
      <c r="C162" s="17">
        <v>1000000</v>
      </c>
      <c r="D162" s="17">
        <v>0.94</v>
      </c>
      <c r="F162" t="str">
        <f t="shared" si="2"/>
        <v>$3,000,001-$6,000,000250001000000</v>
      </c>
      <c r="G162" s="17">
        <v>0.94</v>
      </c>
    </row>
    <row r="163" spans="1:7" x14ac:dyDescent="0.35">
      <c r="A163" s="16" t="s">
        <v>29</v>
      </c>
      <c r="B163" s="17">
        <v>25000</v>
      </c>
      <c r="C163" s="17">
        <v>2000000</v>
      </c>
      <c r="D163" s="17">
        <v>1.46</v>
      </c>
      <c r="F163" t="str">
        <f t="shared" si="2"/>
        <v>$3,000,001-$6,000,000250002000000</v>
      </c>
      <c r="G163" s="17">
        <v>1.46</v>
      </c>
    </row>
    <row r="164" spans="1:7" x14ac:dyDescent="0.35">
      <c r="A164" s="16" t="s">
        <v>29</v>
      </c>
      <c r="B164" s="17">
        <v>25000</v>
      </c>
      <c r="C164" s="17">
        <v>3000000</v>
      </c>
      <c r="D164" s="17">
        <v>1.9</v>
      </c>
      <c r="F164" t="str">
        <f t="shared" si="2"/>
        <v>$3,000,001-$6,000,000250003000000</v>
      </c>
      <c r="G164" s="17">
        <v>1.9</v>
      </c>
    </row>
    <row r="165" spans="1:7" x14ac:dyDescent="0.35">
      <c r="A165" s="16" t="s">
        <v>29</v>
      </c>
      <c r="B165" s="17">
        <v>25000</v>
      </c>
      <c r="C165" s="17">
        <v>5000000</v>
      </c>
      <c r="D165" s="17">
        <v>2.4</v>
      </c>
      <c r="F165" t="str">
        <f t="shared" si="2"/>
        <v>$3,000,001-$6,000,000250005000000</v>
      </c>
      <c r="G165" s="17">
        <v>2.4</v>
      </c>
    </row>
    <row r="166" spans="1:7" x14ac:dyDescent="0.35">
      <c r="A166" s="16" t="s">
        <v>29</v>
      </c>
      <c r="B166" s="17">
        <v>50000</v>
      </c>
      <c r="C166" s="17">
        <v>500000</v>
      </c>
      <c r="D166" s="17">
        <v>0.69</v>
      </c>
      <c r="F166" t="str">
        <f t="shared" si="2"/>
        <v>$3,000,001-$6,000,00050000500000</v>
      </c>
      <c r="G166" s="17">
        <v>0.69</v>
      </c>
    </row>
    <row r="167" spans="1:7" x14ac:dyDescent="0.35">
      <c r="A167" s="16" t="s">
        <v>29</v>
      </c>
      <c r="B167" s="17">
        <v>50000</v>
      </c>
      <c r="C167" s="17">
        <v>1000000</v>
      </c>
      <c r="D167" s="17">
        <v>0.9</v>
      </c>
      <c r="F167" t="str">
        <f t="shared" si="2"/>
        <v>$3,000,001-$6,000,000500001000000</v>
      </c>
      <c r="G167" s="17">
        <v>0.9</v>
      </c>
    </row>
    <row r="168" spans="1:7" x14ac:dyDescent="0.35">
      <c r="A168" s="16" t="s">
        <v>29</v>
      </c>
      <c r="B168" s="17">
        <v>50000</v>
      </c>
      <c r="C168" s="17">
        <v>2000000</v>
      </c>
      <c r="D168" s="17">
        <v>1.42</v>
      </c>
      <c r="F168" t="str">
        <f t="shared" si="2"/>
        <v>$3,000,001-$6,000,000500002000000</v>
      </c>
      <c r="G168" s="17">
        <v>1.42</v>
      </c>
    </row>
    <row r="169" spans="1:7" x14ac:dyDescent="0.35">
      <c r="A169" s="16" t="s">
        <v>29</v>
      </c>
      <c r="B169" s="17">
        <v>50000</v>
      </c>
      <c r="C169" s="17">
        <v>3000000</v>
      </c>
      <c r="D169" s="17">
        <v>1.85</v>
      </c>
      <c r="F169" t="str">
        <f t="shared" si="2"/>
        <v>$3,000,001-$6,000,000500003000000</v>
      </c>
      <c r="G169" s="17">
        <v>1.85</v>
      </c>
    </row>
    <row r="170" spans="1:7" x14ac:dyDescent="0.35">
      <c r="A170" s="16" t="s">
        <v>29</v>
      </c>
      <c r="B170" s="17">
        <v>50000</v>
      </c>
      <c r="C170" s="17">
        <v>5000000</v>
      </c>
      <c r="D170" s="17">
        <v>2.35</v>
      </c>
      <c r="F170" t="str">
        <f t="shared" si="2"/>
        <v>$3,000,001-$6,000,000500005000000</v>
      </c>
      <c r="G170" s="17">
        <v>2.35</v>
      </c>
    </row>
    <row r="171" spans="1:7" x14ac:dyDescent="0.35">
      <c r="A171" s="16" t="s">
        <v>29</v>
      </c>
      <c r="B171" s="17">
        <v>100000</v>
      </c>
      <c r="C171" s="17">
        <v>500000</v>
      </c>
      <c r="D171" s="17">
        <v>0.64</v>
      </c>
      <c r="F171" t="str">
        <f t="shared" si="2"/>
        <v>$3,000,001-$6,000,000100000500000</v>
      </c>
      <c r="G171" s="17">
        <v>0.64</v>
      </c>
    </row>
    <row r="172" spans="1:7" x14ac:dyDescent="0.35">
      <c r="A172" s="16" t="s">
        <v>29</v>
      </c>
      <c r="B172" s="17">
        <v>100000</v>
      </c>
      <c r="C172" s="17">
        <v>1000000</v>
      </c>
      <c r="D172" s="17">
        <v>0.86</v>
      </c>
      <c r="F172" t="str">
        <f t="shared" si="2"/>
        <v>$3,000,001-$6,000,0001000001000000</v>
      </c>
      <c r="G172" s="17">
        <v>0.86</v>
      </c>
    </row>
    <row r="173" spans="1:7" x14ac:dyDescent="0.35">
      <c r="A173" s="16" t="s">
        <v>29</v>
      </c>
      <c r="B173" s="17">
        <v>100000</v>
      </c>
      <c r="C173" s="17">
        <v>2000000</v>
      </c>
      <c r="D173" s="17">
        <v>1.36</v>
      </c>
      <c r="F173" t="str">
        <f t="shared" si="2"/>
        <v>$3,000,001-$6,000,0001000002000000</v>
      </c>
      <c r="G173" s="17">
        <v>1.36</v>
      </c>
    </row>
    <row r="174" spans="1:7" x14ac:dyDescent="0.35">
      <c r="A174" s="16" t="s">
        <v>29</v>
      </c>
      <c r="B174" s="17">
        <v>100000</v>
      </c>
      <c r="C174" s="17">
        <v>3000000</v>
      </c>
      <c r="D174" s="17">
        <v>1.8</v>
      </c>
      <c r="F174" t="str">
        <f t="shared" si="2"/>
        <v>$3,000,001-$6,000,0001000003000000</v>
      </c>
      <c r="G174" s="17">
        <v>1.8</v>
      </c>
    </row>
    <row r="175" spans="1:7" x14ac:dyDescent="0.35">
      <c r="A175" s="16" t="s">
        <v>29</v>
      </c>
      <c r="B175" s="17">
        <v>100000</v>
      </c>
      <c r="C175" s="17">
        <v>5000000</v>
      </c>
      <c r="D175" s="17">
        <v>2.29</v>
      </c>
      <c r="F175" t="str">
        <f t="shared" si="2"/>
        <v>$3,000,001-$6,000,0001000005000000</v>
      </c>
      <c r="G175" s="17">
        <v>2.29</v>
      </c>
    </row>
    <row r="176" spans="1:7" x14ac:dyDescent="0.35">
      <c r="A176" s="11" t="s">
        <v>30</v>
      </c>
      <c r="B176" s="12">
        <v>1000</v>
      </c>
      <c r="C176" s="12">
        <v>500000</v>
      </c>
      <c r="D176" s="12">
        <v>99</v>
      </c>
      <c r="F176" t="str">
        <f t="shared" si="2"/>
        <v>$6,000,001-$10,000,0001000500000</v>
      </c>
      <c r="G176" s="12">
        <v>99</v>
      </c>
    </row>
    <row r="177" spans="1:7" x14ac:dyDescent="0.35">
      <c r="A177" s="11" t="s">
        <v>30</v>
      </c>
      <c r="B177" s="12">
        <v>1000</v>
      </c>
      <c r="C177" s="12">
        <v>1000000</v>
      </c>
      <c r="D177" s="12">
        <v>99</v>
      </c>
      <c r="F177" t="str">
        <f t="shared" si="2"/>
        <v>$6,000,001-$10,000,00010001000000</v>
      </c>
      <c r="G177" s="12">
        <v>99</v>
      </c>
    </row>
    <row r="178" spans="1:7" x14ac:dyDescent="0.35">
      <c r="A178" s="11" t="s">
        <v>30</v>
      </c>
      <c r="B178" s="12">
        <v>1000</v>
      </c>
      <c r="C178" s="12">
        <v>2000000</v>
      </c>
      <c r="D178" s="12">
        <v>99</v>
      </c>
      <c r="F178" t="str">
        <f t="shared" si="2"/>
        <v>$6,000,001-$10,000,00010002000000</v>
      </c>
      <c r="G178" s="12">
        <v>99</v>
      </c>
    </row>
    <row r="179" spans="1:7" x14ac:dyDescent="0.35">
      <c r="A179" s="11" t="s">
        <v>30</v>
      </c>
      <c r="B179" s="12">
        <v>1000</v>
      </c>
      <c r="C179" s="12">
        <v>3000000</v>
      </c>
      <c r="D179" s="12">
        <v>99</v>
      </c>
      <c r="F179" t="str">
        <f t="shared" si="2"/>
        <v>$6,000,001-$10,000,00010003000000</v>
      </c>
      <c r="G179" s="12">
        <v>99</v>
      </c>
    </row>
    <row r="180" spans="1:7" x14ac:dyDescent="0.35">
      <c r="A180" s="11" t="s">
        <v>30</v>
      </c>
      <c r="B180" s="12">
        <v>1000</v>
      </c>
      <c r="C180" s="12">
        <v>5000000</v>
      </c>
      <c r="D180" s="12">
        <v>99</v>
      </c>
      <c r="F180" t="str">
        <f t="shared" si="2"/>
        <v>$6,000,001-$10,000,00010005000000</v>
      </c>
      <c r="G180" s="12">
        <v>99</v>
      </c>
    </row>
    <row r="181" spans="1:7" x14ac:dyDescent="0.35">
      <c r="A181" s="11" t="s">
        <v>30</v>
      </c>
      <c r="B181" s="12">
        <v>2500</v>
      </c>
      <c r="C181" s="12">
        <v>500000</v>
      </c>
      <c r="D181" s="12">
        <v>0.9</v>
      </c>
      <c r="F181" t="str">
        <f t="shared" si="2"/>
        <v>$6,000,001-$10,000,0002500500000</v>
      </c>
      <c r="G181" s="12">
        <v>0.9</v>
      </c>
    </row>
    <row r="182" spans="1:7" x14ac:dyDescent="0.35">
      <c r="A182" s="11" t="s">
        <v>30</v>
      </c>
      <c r="B182" s="12">
        <v>2500</v>
      </c>
      <c r="C182" s="12">
        <v>1000000</v>
      </c>
      <c r="D182" s="12">
        <v>1.1499999999999999</v>
      </c>
      <c r="F182" t="str">
        <f t="shared" si="2"/>
        <v>$6,000,001-$10,000,00025001000000</v>
      </c>
      <c r="G182" s="12">
        <v>1.1499999999999999</v>
      </c>
    </row>
    <row r="183" spans="1:7" x14ac:dyDescent="0.35">
      <c r="A183" s="11" t="s">
        <v>30</v>
      </c>
      <c r="B183" s="12">
        <v>2500</v>
      </c>
      <c r="C183" s="12">
        <v>2000000</v>
      </c>
      <c r="D183" s="12">
        <v>1.67</v>
      </c>
      <c r="F183" t="str">
        <f t="shared" si="2"/>
        <v>$6,000,001-$10,000,00025002000000</v>
      </c>
      <c r="G183" s="12">
        <v>1.67</v>
      </c>
    </row>
    <row r="184" spans="1:7" x14ac:dyDescent="0.35">
      <c r="A184" s="11" t="s">
        <v>30</v>
      </c>
      <c r="B184" s="12">
        <v>2500</v>
      </c>
      <c r="C184" s="12">
        <v>3000000</v>
      </c>
      <c r="D184" s="12">
        <v>2.1</v>
      </c>
      <c r="F184" t="str">
        <f t="shared" si="2"/>
        <v>$6,000,001-$10,000,00025003000000</v>
      </c>
      <c r="G184" s="12">
        <v>2.1</v>
      </c>
    </row>
    <row r="185" spans="1:7" x14ac:dyDescent="0.35">
      <c r="A185" s="11" t="s">
        <v>30</v>
      </c>
      <c r="B185" s="12">
        <v>2500</v>
      </c>
      <c r="C185" s="12">
        <v>5000000</v>
      </c>
      <c r="D185" s="12">
        <v>2.6</v>
      </c>
      <c r="F185" t="str">
        <f t="shared" si="2"/>
        <v>$6,000,001-$10,000,00025005000000</v>
      </c>
      <c r="G185" s="12">
        <v>2.6</v>
      </c>
    </row>
    <row r="186" spans="1:7" x14ac:dyDescent="0.35">
      <c r="A186" s="11" t="s">
        <v>30</v>
      </c>
      <c r="B186" s="12">
        <v>5000</v>
      </c>
      <c r="C186" s="12">
        <v>500000</v>
      </c>
      <c r="D186" s="12">
        <v>0.85</v>
      </c>
      <c r="F186" t="str">
        <f t="shared" si="2"/>
        <v>$6,000,001-$10,000,0005000500000</v>
      </c>
      <c r="G186" s="12">
        <v>0.85</v>
      </c>
    </row>
    <row r="187" spans="1:7" x14ac:dyDescent="0.35">
      <c r="A187" s="11" t="s">
        <v>30</v>
      </c>
      <c r="B187" s="12">
        <v>5000</v>
      </c>
      <c r="C187" s="12">
        <v>1000000</v>
      </c>
      <c r="D187" s="12">
        <v>1.0900000000000001</v>
      </c>
      <c r="F187" t="str">
        <f t="shared" si="2"/>
        <v>$6,000,001-$10,000,00050001000000</v>
      </c>
      <c r="G187" s="12">
        <v>1.0900000000000001</v>
      </c>
    </row>
    <row r="188" spans="1:7" x14ac:dyDescent="0.35">
      <c r="A188" s="11" t="s">
        <v>30</v>
      </c>
      <c r="B188" s="12">
        <v>5000</v>
      </c>
      <c r="C188" s="12">
        <v>2000000</v>
      </c>
      <c r="D188" s="12">
        <v>1.59</v>
      </c>
      <c r="F188" t="str">
        <f t="shared" si="2"/>
        <v>$6,000,001-$10,000,00050002000000</v>
      </c>
      <c r="G188" s="12">
        <v>1.59</v>
      </c>
    </row>
    <row r="189" spans="1:7" x14ac:dyDescent="0.35">
      <c r="A189" s="11" t="s">
        <v>30</v>
      </c>
      <c r="B189" s="12">
        <v>5000</v>
      </c>
      <c r="C189" s="12">
        <v>3000000</v>
      </c>
      <c r="D189" s="12">
        <v>2.0299999999999998</v>
      </c>
      <c r="F189" t="str">
        <f t="shared" si="2"/>
        <v>$6,000,001-$10,000,00050003000000</v>
      </c>
      <c r="G189" s="12">
        <v>2.0299999999999998</v>
      </c>
    </row>
    <row r="190" spans="1:7" x14ac:dyDescent="0.35">
      <c r="A190" s="11" t="s">
        <v>30</v>
      </c>
      <c r="B190" s="12">
        <v>5000</v>
      </c>
      <c r="C190" s="12">
        <v>5000000</v>
      </c>
      <c r="D190" s="12">
        <v>2.52</v>
      </c>
      <c r="F190" t="str">
        <f t="shared" si="2"/>
        <v>$6,000,001-$10,000,00050005000000</v>
      </c>
      <c r="G190" s="12">
        <v>2.52</v>
      </c>
    </row>
    <row r="191" spans="1:7" x14ac:dyDescent="0.35">
      <c r="A191" s="11" t="s">
        <v>30</v>
      </c>
      <c r="B191" s="12">
        <v>10000</v>
      </c>
      <c r="C191" s="12">
        <v>500000</v>
      </c>
      <c r="D191" s="12">
        <v>0.81</v>
      </c>
      <c r="F191" t="str">
        <f t="shared" si="2"/>
        <v>$6,000,001-$10,000,00010000500000</v>
      </c>
      <c r="G191" s="12">
        <v>0.81</v>
      </c>
    </row>
    <row r="192" spans="1:7" x14ac:dyDescent="0.35">
      <c r="A192" s="11" t="s">
        <v>30</v>
      </c>
      <c r="B192" s="12">
        <v>10000</v>
      </c>
      <c r="C192" s="12">
        <v>1000000</v>
      </c>
      <c r="D192" s="12">
        <v>1.04</v>
      </c>
      <c r="F192" t="str">
        <f t="shared" si="2"/>
        <v>$6,000,001-$10,000,000100001000000</v>
      </c>
      <c r="G192" s="12">
        <v>1.04</v>
      </c>
    </row>
    <row r="193" spans="1:7" x14ac:dyDescent="0.35">
      <c r="A193" s="11" t="s">
        <v>30</v>
      </c>
      <c r="B193" s="12">
        <v>10000</v>
      </c>
      <c r="C193" s="12">
        <v>2000000</v>
      </c>
      <c r="D193" s="12">
        <v>1.54</v>
      </c>
      <c r="F193" t="str">
        <f t="shared" si="2"/>
        <v>$6,000,001-$10,000,000100002000000</v>
      </c>
      <c r="G193" s="12">
        <v>1.54</v>
      </c>
    </row>
    <row r="194" spans="1:7" x14ac:dyDescent="0.35">
      <c r="A194" s="11" t="s">
        <v>30</v>
      </c>
      <c r="B194" s="12">
        <v>10000</v>
      </c>
      <c r="C194" s="12">
        <v>3000000</v>
      </c>
      <c r="D194" s="12">
        <v>1.98</v>
      </c>
      <c r="F194" t="str">
        <f t="shared" ref="F194:F257" si="3">CONCATENATE(A194,B194,C194)</f>
        <v>$6,000,001-$10,000,000100003000000</v>
      </c>
      <c r="G194" s="12">
        <v>1.98</v>
      </c>
    </row>
    <row r="195" spans="1:7" x14ac:dyDescent="0.35">
      <c r="A195" s="11" t="s">
        <v>30</v>
      </c>
      <c r="B195" s="12">
        <v>10000</v>
      </c>
      <c r="C195" s="12">
        <v>5000000</v>
      </c>
      <c r="D195" s="12">
        <v>2.48</v>
      </c>
      <c r="F195" t="str">
        <f t="shared" si="3"/>
        <v>$6,000,001-$10,000,000100005000000</v>
      </c>
      <c r="G195" s="12">
        <v>2.48</v>
      </c>
    </row>
    <row r="196" spans="1:7" x14ac:dyDescent="0.35">
      <c r="A196" s="11" t="s">
        <v>30</v>
      </c>
      <c r="B196" s="12">
        <v>25000</v>
      </c>
      <c r="C196" s="12">
        <v>500000</v>
      </c>
      <c r="D196" s="12">
        <v>0.78</v>
      </c>
      <c r="F196" t="str">
        <f t="shared" si="3"/>
        <v>$6,000,001-$10,000,00025000500000</v>
      </c>
      <c r="G196" s="12">
        <v>0.78</v>
      </c>
    </row>
    <row r="197" spans="1:7" x14ac:dyDescent="0.35">
      <c r="A197" s="11" t="s">
        <v>30</v>
      </c>
      <c r="B197" s="12">
        <v>25000</v>
      </c>
      <c r="C197" s="12">
        <v>1000000</v>
      </c>
      <c r="D197" s="12">
        <v>0.98</v>
      </c>
      <c r="F197" t="str">
        <f t="shared" si="3"/>
        <v>$6,000,001-$10,000,000250001000000</v>
      </c>
      <c r="G197" s="12">
        <v>0.98</v>
      </c>
    </row>
    <row r="198" spans="1:7" x14ac:dyDescent="0.35">
      <c r="A198" s="11" t="s">
        <v>30</v>
      </c>
      <c r="B198" s="12">
        <v>25000</v>
      </c>
      <c r="C198" s="12">
        <v>2000000</v>
      </c>
      <c r="D198" s="12">
        <v>1.5</v>
      </c>
      <c r="F198" t="str">
        <f t="shared" si="3"/>
        <v>$6,000,001-$10,000,000250002000000</v>
      </c>
      <c r="G198" s="12">
        <v>1.5</v>
      </c>
    </row>
    <row r="199" spans="1:7" x14ac:dyDescent="0.35">
      <c r="A199" s="11" t="s">
        <v>30</v>
      </c>
      <c r="B199" s="12">
        <v>25000</v>
      </c>
      <c r="C199" s="12">
        <v>3000000</v>
      </c>
      <c r="D199" s="12">
        <v>1.94</v>
      </c>
      <c r="F199" t="str">
        <f t="shared" si="3"/>
        <v>$6,000,001-$10,000,000250003000000</v>
      </c>
      <c r="G199" s="12">
        <v>1.94</v>
      </c>
    </row>
    <row r="200" spans="1:7" x14ac:dyDescent="0.35">
      <c r="A200" s="11" t="s">
        <v>30</v>
      </c>
      <c r="B200" s="12">
        <v>25000</v>
      </c>
      <c r="C200" s="12">
        <v>5000000</v>
      </c>
      <c r="D200" s="12">
        <v>2.44</v>
      </c>
      <c r="F200" t="str">
        <f t="shared" si="3"/>
        <v>$6,000,001-$10,000,000250005000000</v>
      </c>
      <c r="G200" s="12">
        <v>2.44</v>
      </c>
    </row>
    <row r="201" spans="1:7" x14ac:dyDescent="0.35">
      <c r="A201" s="11" t="s">
        <v>30</v>
      </c>
      <c r="B201" s="12">
        <v>50000</v>
      </c>
      <c r="C201" s="12">
        <v>500000</v>
      </c>
      <c r="D201" s="12">
        <v>0.73</v>
      </c>
      <c r="F201" t="str">
        <f t="shared" si="3"/>
        <v>$6,000,001-$10,000,00050000500000</v>
      </c>
      <c r="G201" s="12">
        <v>0.73</v>
      </c>
    </row>
    <row r="202" spans="1:7" x14ac:dyDescent="0.35">
      <c r="A202" s="11" t="s">
        <v>30</v>
      </c>
      <c r="B202" s="12">
        <v>50000</v>
      </c>
      <c r="C202" s="12">
        <v>1000000</v>
      </c>
      <c r="D202" s="12">
        <v>0.94</v>
      </c>
      <c r="F202" t="str">
        <f t="shared" si="3"/>
        <v>$6,000,001-$10,000,000500001000000</v>
      </c>
      <c r="G202" s="12">
        <v>0.94</v>
      </c>
    </row>
    <row r="203" spans="1:7" x14ac:dyDescent="0.35">
      <c r="A203" s="11" t="s">
        <v>30</v>
      </c>
      <c r="B203" s="12">
        <v>50000</v>
      </c>
      <c r="C203" s="12">
        <v>2000000</v>
      </c>
      <c r="D203" s="12">
        <v>1.46</v>
      </c>
      <c r="F203" t="str">
        <f t="shared" si="3"/>
        <v>$6,000,001-$10,000,000500002000000</v>
      </c>
      <c r="G203" s="12">
        <v>1.46</v>
      </c>
    </row>
    <row r="204" spans="1:7" x14ac:dyDescent="0.35">
      <c r="A204" s="11" t="s">
        <v>30</v>
      </c>
      <c r="B204" s="12">
        <v>50000</v>
      </c>
      <c r="C204" s="12">
        <v>3000000</v>
      </c>
      <c r="D204" s="12">
        <v>1.89</v>
      </c>
      <c r="F204" t="str">
        <f t="shared" si="3"/>
        <v>$6,000,001-$10,000,000500003000000</v>
      </c>
      <c r="G204" s="12">
        <v>1.89</v>
      </c>
    </row>
    <row r="205" spans="1:7" x14ac:dyDescent="0.35">
      <c r="A205" s="11" t="s">
        <v>30</v>
      </c>
      <c r="B205" s="12">
        <v>50000</v>
      </c>
      <c r="C205" s="12">
        <v>5000000</v>
      </c>
      <c r="D205" s="12">
        <v>2.39</v>
      </c>
      <c r="F205" t="str">
        <f t="shared" si="3"/>
        <v>$6,000,001-$10,000,000500005000000</v>
      </c>
      <c r="G205" s="12">
        <v>2.39</v>
      </c>
    </row>
    <row r="206" spans="1:7" x14ac:dyDescent="0.35">
      <c r="A206" s="11" t="s">
        <v>30</v>
      </c>
      <c r="B206" s="12">
        <v>100000</v>
      </c>
      <c r="C206" s="12">
        <v>500000</v>
      </c>
      <c r="D206" s="12">
        <v>0.68</v>
      </c>
      <c r="F206" t="str">
        <f t="shared" si="3"/>
        <v>$6,000,001-$10,000,000100000500000</v>
      </c>
      <c r="G206" s="12">
        <v>0.68</v>
      </c>
    </row>
    <row r="207" spans="1:7" x14ac:dyDescent="0.35">
      <c r="A207" s="11" t="s">
        <v>30</v>
      </c>
      <c r="B207" s="12">
        <v>100000</v>
      </c>
      <c r="C207" s="12">
        <v>1000000</v>
      </c>
      <c r="D207" s="12">
        <v>0.9</v>
      </c>
      <c r="F207" t="str">
        <f t="shared" si="3"/>
        <v>$6,000,001-$10,000,0001000001000000</v>
      </c>
      <c r="G207" s="12">
        <v>0.9</v>
      </c>
    </row>
    <row r="208" spans="1:7" x14ac:dyDescent="0.35">
      <c r="A208" s="11" t="s">
        <v>30</v>
      </c>
      <c r="B208" s="12">
        <v>100000</v>
      </c>
      <c r="C208" s="12">
        <v>2000000</v>
      </c>
      <c r="D208" s="12">
        <v>1.4</v>
      </c>
      <c r="F208" t="str">
        <f t="shared" si="3"/>
        <v>$6,000,001-$10,000,0001000002000000</v>
      </c>
      <c r="G208" s="12">
        <v>1.4</v>
      </c>
    </row>
    <row r="209" spans="1:7" x14ac:dyDescent="0.35">
      <c r="A209" s="11" t="s">
        <v>30</v>
      </c>
      <c r="B209" s="12">
        <v>100000</v>
      </c>
      <c r="C209" s="12">
        <v>3000000</v>
      </c>
      <c r="D209" s="12">
        <v>1.84</v>
      </c>
      <c r="F209" t="str">
        <f t="shared" si="3"/>
        <v>$6,000,001-$10,000,0001000003000000</v>
      </c>
      <c r="G209" s="12">
        <v>1.84</v>
      </c>
    </row>
    <row r="210" spans="1:7" x14ac:dyDescent="0.35">
      <c r="A210" s="11" t="s">
        <v>30</v>
      </c>
      <c r="B210" s="12">
        <v>100000</v>
      </c>
      <c r="C210" s="12">
        <v>5000000</v>
      </c>
      <c r="D210" s="12">
        <v>2.34</v>
      </c>
      <c r="F210" t="str">
        <f t="shared" si="3"/>
        <v>$6,000,001-$10,000,0001000005000000</v>
      </c>
      <c r="G210" s="12">
        <v>2.34</v>
      </c>
    </row>
    <row r="211" spans="1:7" x14ac:dyDescent="0.35">
      <c r="A211" s="1" t="s">
        <v>31</v>
      </c>
      <c r="B211" s="13">
        <v>1000</v>
      </c>
      <c r="C211" s="13">
        <v>500000</v>
      </c>
      <c r="D211" s="13">
        <v>99</v>
      </c>
      <c r="F211" t="str">
        <f t="shared" si="3"/>
        <v>$10,000,001-$20,000,0001000500000</v>
      </c>
      <c r="G211" s="13">
        <v>99</v>
      </c>
    </row>
    <row r="212" spans="1:7" x14ac:dyDescent="0.35">
      <c r="A212" s="1" t="s">
        <v>31</v>
      </c>
      <c r="B212" s="13">
        <v>1000</v>
      </c>
      <c r="C212" s="13">
        <v>1000000</v>
      </c>
      <c r="D212" s="13">
        <v>99</v>
      </c>
      <c r="F212" t="str">
        <f t="shared" si="3"/>
        <v>$10,000,001-$20,000,00010001000000</v>
      </c>
      <c r="G212" s="13">
        <v>99</v>
      </c>
    </row>
    <row r="213" spans="1:7" x14ac:dyDescent="0.35">
      <c r="A213" s="1" t="s">
        <v>31</v>
      </c>
      <c r="B213" s="13">
        <v>1000</v>
      </c>
      <c r="C213" s="13">
        <v>2000000</v>
      </c>
      <c r="D213" s="13">
        <v>99</v>
      </c>
      <c r="F213" t="str">
        <f t="shared" si="3"/>
        <v>$10,000,001-$20,000,00010002000000</v>
      </c>
      <c r="G213" s="13">
        <v>99</v>
      </c>
    </row>
    <row r="214" spans="1:7" x14ac:dyDescent="0.35">
      <c r="A214" s="1" t="s">
        <v>31</v>
      </c>
      <c r="B214" s="13">
        <v>1000</v>
      </c>
      <c r="C214" s="13">
        <v>3000000</v>
      </c>
      <c r="D214" s="13">
        <v>99</v>
      </c>
      <c r="F214" t="str">
        <f t="shared" si="3"/>
        <v>$10,000,001-$20,000,00010003000000</v>
      </c>
      <c r="G214" s="13">
        <v>99</v>
      </c>
    </row>
    <row r="215" spans="1:7" x14ac:dyDescent="0.35">
      <c r="A215" s="1" t="s">
        <v>31</v>
      </c>
      <c r="B215" s="13">
        <v>1000</v>
      </c>
      <c r="C215" s="13">
        <v>5000000</v>
      </c>
      <c r="D215" s="13">
        <v>99</v>
      </c>
      <c r="F215" t="str">
        <f t="shared" si="3"/>
        <v>$10,000,001-$20,000,00010005000000</v>
      </c>
      <c r="G215" s="13">
        <v>99</v>
      </c>
    </row>
    <row r="216" spans="1:7" x14ac:dyDescent="0.35">
      <c r="A216" s="1" t="s">
        <v>31</v>
      </c>
      <c r="B216" s="13">
        <v>2500</v>
      </c>
      <c r="C216" s="13">
        <v>500000</v>
      </c>
      <c r="D216" s="13">
        <v>0.96</v>
      </c>
      <c r="F216" t="str">
        <f t="shared" si="3"/>
        <v>$10,000,001-$20,000,0002500500000</v>
      </c>
      <c r="G216" s="13">
        <v>0.96</v>
      </c>
    </row>
    <row r="217" spans="1:7" x14ac:dyDescent="0.35">
      <c r="A217" s="1" t="s">
        <v>31</v>
      </c>
      <c r="B217" s="13">
        <v>2500</v>
      </c>
      <c r="C217" s="13">
        <v>1000000</v>
      </c>
      <c r="D217" s="13">
        <v>1.21</v>
      </c>
      <c r="F217" t="str">
        <f t="shared" si="3"/>
        <v>$10,000,001-$20,000,00025001000000</v>
      </c>
      <c r="G217" s="13">
        <v>1.21</v>
      </c>
    </row>
    <row r="218" spans="1:7" x14ac:dyDescent="0.35">
      <c r="A218" s="1" t="s">
        <v>31</v>
      </c>
      <c r="B218" s="13">
        <v>2500</v>
      </c>
      <c r="C218" s="13">
        <v>2000000</v>
      </c>
      <c r="D218" s="13">
        <v>1.73</v>
      </c>
      <c r="F218" t="str">
        <f t="shared" si="3"/>
        <v>$10,000,001-$20,000,00025002000000</v>
      </c>
      <c r="G218" s="13">
        <v>1.73</v>
      </c>
    </row>
    <row r="219" spans="1:7" x14ac:dyDescent="0.35">
      <c r="A219" s="1" t="s">
        <v>31</v>
      </c>
      <c r="B219" s="13">
        <v>2500</v>
      </c>
      <c r="C219" s="13">
        <v>3000000</v>
      </c>
      <c r="D219" s="13">
        <v>2.16</v>
      </c>
      <c r="F219" t="str">
        <f t="shared" si="3"/>
        <v>$10,000,001-$20,000,00025003000000</v>
      </c>
      <c r="G219" s="13">
        <v>2.16</v>
      </c>
    </row>
    <row r="220" spans="1:7" x14ac:dyDescent="0.35">
      <c r="A220" s="1" t="s">
        <v>31</v>
      </c>
      <c r="B220" s="13">
        <v>2500</v>
      </c>
      <c r="C220" s="13">
        <v>5000000</v>
      </c>
      <c r="D220" s="13">
        <v>2.66</v>
      </c>
      <c r="F220" t="str">
        <f t="shared" si="3"/>
        <v>$10,000,001-$20,000,00025005000000</v>
      </c>
      <c r="G220" s="13">
        <v>2.66</v>
      </c>
    </row>
    <row r="221" spans="1:7" x14ac:dyDescent="0.35">
      <c r="A221" s="1" t="s">
        <v>31</v>
      </c>
      <c r="B221" s="13">
        <v>5000</v>
      </c>
      <c r="C221" s="13">
        <v>500000</v>
      </c>
      <c r="D221" s="13">
        <v>0.91</v>
      </c>
      <c r="F221" t="str">
        <f t="shared" si="3"/>
        <v>$10,000,001-$20,000,0005000500000</v>
      </c>
      <c r="G221" s="13">
        <v>0.91</v>
      </c>
    </row>
    <row r="222" spans="1:7" x14ac:dyDescent="0.35">
      <c r="A222" s="1" t="s">
        <v>31</v>
      </c>
      <c r="B222" s="13">
        <v>5000</v>
      </c>
      <c r="C222" s="13">
        <v>1000000</v>
      </c>
      <c r="D222" s="13">
        <v>1.1499999999999999</v>
      </c>
      <c r="F222" t="str">
        <f t="shared" si="3"/>
        <v>$10,000,001-$20,000,00050001000000</v>
      </c>
      <c r="G222" s="13">
        <v>1.1499999999999999</v>
      </c>
    </row>
    <row r="223" spans="1:7" x14ac:dyDescent="0.35">
      <c r="A223" s="1" t="s">
        <v>31</v>
      </c>
      <c r="B223" s="13">
        <v>5000</v>
      </c>
      <c r="C223" s="13">
        <v>2000000</v>
      </c>
      <c r="D223" s="13">
        <v>1.65</v>
      </c>
      <c r="F223" t="str">
        <f t="shared" si="3"/>
        <v>$10,000,001-$20,000,00050002000000</v>
      </c>
      <c r="G223" s="13">
        <v>1.65</v>
      </c>
    </row>
    <row r="224" spans="1:7" x14ac:dyDescent="0.35">
      <c r="A224" s="1" t="s">
        <v>31</v>
      </c>
      <c r="B224" s="13">
        <v>5000</v>
      </c>
      <c r="C224" s="13">
        <v>3000000</v>
      </c>
      <c r="D224" s="13">
        <v>2.09</v>
      </c>
      <c r="F224" t="str">
        <f t="shared" si="3"/>
        <v>$10,000,001-$20,000,00050003000000</v>
      </c>
      <c r="G224" s="13">
        <v>2.09</v>
      </c>
    </row>
    <row r="225" spans="1:7" x14ac:dyDescent="0.35">
      <c r="A225" s="1" t="s">
        <v>31</v>
      </c>
      <c r="B225" s="13">
        <v>5000</v>
      </c>
      <c r="C225" s="13">
        <v>5000000</v>
      </c>
      <c r="D225" s="13">
        <v>2.58</v>
      </c>
      <c r="F225" t="str">
        <f t="shared" si="3"/>
        <v>$10,000,001-$20,000,00050005000000</v>
      </c>
      <c r="G225" s="13">
        <v>2.58</v>
      </c>
    </row>
    <row r="226" spans="1:7" x14ac:dyDescent="0.35">
      <c r="A226" s="1" t="s">
        <v>31</v>
      </c>
      <c r="B226" s="13">
        <v>10000</v>
      </c>
      <c r="C226" s="13">
        <v>500000</v>
      </c>
      <c r="D226" s="13">
        <v>0.86</v>
      </c>
      <c r="F226" t="str">
        <f t="shared" si="3"/>
        <v>$10,000,001-$20,000,00010000500000</v>
      </c>
      <c r="G226" s="13">
        <v>0.86</v>
      </c>
    </row>
    <row r="227" spans="1:7" x14ac:dyDescent="0.35">
      <c r="A227" s="1" t="s">
        <v>31</v>
      </c>
      <c r="B227" s="13">
        <v>10000</v>
      </c>
      <c r="C227" s="13">
        <v>1000000</v>
      </c>
      <c r="D227" s="13">
        <v>1.0900000000000001</v>
      </c>
      <c r="F227" t="str">
        <f t="shared" si="3"/>
        <v>$10,000,001-$20,000,000100001000000</v>
      </c>
      <c r="G227" s="13">
        <v>1.0900000000000001</v>
      </c>
    </row>
    <row r="228" spans="1:7" x14ac:dyDescent="0.35">
      <c r="A228" s="1" t="s">
        <v>31</v>
      </c>
      <c r="B228" s="13">
        <v>10000</v>
      </c>
      <c r="C228" s="13">
        <v>2000000</v>
      </c>
      <c r="D228" s="13">
        <v>1.59</v>
      </c>
      <c r="F228" t="str">
        <f t="shared" si="3"/>
        <v>$10,000,001-$20,000,000100002000000</v>
      </c>
      <c r="G228" s="13">
        <v>1.59</v>
      </c>
    </row>
    <row r="229" spans="1:7" x14ac:dyDescent="0.35">
      <c r="A229" s="1" t="s">
        <v>31</v>
      </c>
      <c r="B229" s="13">
        <v>10000</v>
      </c>
      <c r="C229" s="13">
        <v>3000000</v>
      </c>
      <c r="D229" s="13">
        <v>2.0299999999999998</v>
      </c>
      <c r="F229" t="str">
        <f t="shared" si="3"/>
        <v>$10,000,001-$20,000,000100003000000</v>
      </c>
      <c r="G229" s="13">
        <v>2.0299999999999998</v>
      </c>
    </row>
    <row r="230" spans="1:7" x14ac:dyDescent="0.35">
      <c r="A230" s="1" t="s">
        <v>31</v>
      </c>
      <c r="B230" s="13">
        <v>10000</v>
      </c>
      <c r="C230" s="13">
        <v>5000000</v>
      </c>
      <c r="D230" s="13">
        <v>2.5299999999999998</v>
      </c>
      <c r="F230" t="str">
        <f t="shared" si="3"/>
        <v>$10,000,001-$20,000,000100005000000</v>
      </c>
      <c r="G230" s="13">
        <v>2.5299999999999998</v>
      </c>
    </row>
    <row r="231" spans="1:7" x14ac:dyDescent="0.35">
      <c r="A231" s="1" t="s">
        <v>31</v>
      </c>
      <c r="B231" s="13">
        <v>25000</v>
      </c>
      <c r="C231" s="13">
        <v>500000</v>
      </c>
      <c r="D231" s="13">
        <v>0.82</v>
      </c>
      <c r="F231" t="str">
        <f t="shared" si="3"/>
        <v>$10,000,001-$20,000,00025000500000</v>
      </c>
      <c r="G231" s="13">
        <v>0.82</v>
      </c>
    </row>
    <row r="232" spans="1:7" x14ac:dyDescent="0.35">
      <c r="A232" s="1" t="s">
        <v>31</v>
      </c>
      <c r="B232" s="13">
        <v>25000</v>
      </c>
      <c r="C232" s="13">
        <v>1000000</v>
      </c>
      <c r="D232" s="13">
        <v>1.02</v>
      </c>
      <c r="F232" t="str">
        <f t="shared" si="3"/>
        <v>$10,000,001-$20,000,000250001000000</v>
      </c>
      <c r="G232" s="13">
        <v>1.02</v>
      </c>
    </row>
    <row r="233" spans="1:7" x14ac:dyDescent="0.35">
      <c r="A233" s="1" t="s">
        <v>31</v>
      </c>
      <c r="B233" s="13">
        <v>25000</v>
      </c>
      <c r="C233" s="13">
        <v>2000000</v>
      </c>
      <c r="D233" s="13">
        <v>1.54</v>
      </c>
      <c r="F233" t="str">
        <f t="shared" si="3"/>
        <v>$10,000,001-$20,000,000250002000000</v>
      </c>
      <c r="G233" s="13">
        <v>1.54</v>
      </c>
    </row>
    <row r="234" spans="1:7" x14ac:dyDescent="0.35">
      <c r="A234" s="1" t="s">
        <v>31</v>
      </c>
      <c r="B234" s="13">
        <v>25000</v>
      </c>
      <c r="C234" s="13">
        <v>3000000</v>
      </c>
      <c r="D234" s="13">
        <v>1.98</v>
      </c>
      <c r="F234" t="str">
        <f t="shared" si="3"/>
        <v>$10,000,001-$20,000,000250003000000</v>
      </c>
      <c r="G234" s="13">
        <v>1.98</v>
      </c>
    </row>
    <row r="235" spans="1:7" x14ac:dyDescent="0.35">
      <c r="A235" s="1" t="s">
        <v>31</v>
      </c>
      <c r="B235" s="13">
        <v>25000</v>
      </c>
      <c r="C235" s="13">
        <v>5000000</v>
      </c>
      <c r="D235" s="13">
        <v>2.48</v>
      </c>
      <c r="F235" t="str">
        <f t="shared" si="3"/>
        <v>$10,000,001-$20,000,000250005000000</v>
      </c>
      <c r="G235" s="13">
        <v>2.48</v>
      </c>
    </row>
    <row r="236" spans="1:7" x14ac:dyDescent="0.35">
      <c r="A236" s="1" t="s">
        <v>31</v>
      </c>
      <c r="B236" s="13">
        <v>50000</v>
      </c>
      <c r="C236" s="13">
        <v>500000</v>
      </c>
      <c r="D236" s="13">
        <v>0.77</v>
      </c>
      <c r="F236" t="str">
        <f t="shared" si="3"/>
        <v>$10,000,001-$20,000,00050000500000</v>
      </c>
      <c r="G236" s="13">
        <v>0.77</v>
      </c>
    </row>
    <row r="237" spans="1:7" x14ac:dyDescent="0.35">
      <c r="A237" s="1" t="s">
        <v>31</v>
      </c>
      <c r="B237" s="13">
        <v>50000</v>
      </c>
      <c r="C237" s="13">
        <v>1000000</v>
      </c>
      <c r="D237" s="13">
        <v>0.98</v>
      </c>
      <c r="F237" t="str">
        <f t="shared" si="3"/>
        <v>$10,000,001-$20,000,000500001000000</v>
      </c>
      <c r="G237" s="13">
        <v>0.98</v>
      </c>
    </row>
    <row r="238" spans="1:7" x14ac:dyDescent="0.35">
      <c r="A238" s="1" t="s">
        <v>31</v>
      </c>
      <c r="B238" s="13">
        <v>50000</v>
      </c>
      <c r="C238" s="13">
        <v>2000000</v>
      </c>
      <c r="D238" s="13">
        <v>1.5</v>
      </c>
      <c r="F238" t="str">
        <f t="shared" si="3"/>
        <v>$10,000,001-$20,000,000500002000000</v>
      </c>
      <c r="G238" s="13">
        <v>1.5</v>
      </c>
    </row>
    <row r="239" spans="1:7" x14ac:dyDescent="0.35">
      <c r="A239" s="1" t="s">
        <v>31</v>
      </c>
      <c r="B239" s="13">
        <v>50000</v>
      </c>
      <c r="C239" s="13">
        <v>3000000</v>
      </c>
      <c r="D239" s="13">
        <v>1.93</v>
      </c>
      <c r="F239" t="str">
        <f t="shared" si="3"/>
        <v>$10,000,001-$20,000,000500003000000</v>
      </c>
      <c r="G239" s="13">
        <v>1.93</v>
      </c>
    </row>
    <row r="240" spans="1:7" x14ac:dyDescent="0.35">
      <c r="A240" s="1" t="s">
        <v>31</v>
      </c>
      <c r="B240" s="13">
        <v>50000</v>
      </c>
      <c r="C240" s="13">
        <v>5000000</v>
      </c>
      <c r="D240" s="13">
        <v>2.4300000000000002</v>
      </c>
      <c r="F240" t="str">
        <f t="shared" si="3"/>
        <v>$10,000,001-$20,000,000500005000000</v>
      </c>
      <c r="G240" s="13">
        <v>2.4300000000000002</v>
      </c>
    </row>
    <row r="241" spans="1:7" x14ac:dyDescent="0.35">
      <c r="A241" s="1" t="s">
        <v>31</v>
      </c>
      <c r="B241" s="13">
        <v>100000</v>
      </c>
      <c r="C241" s="13">
        <v>500000</v>
      </c>
      <c r="D241" s="13">
        <v>0.72</v>
      </c>
      <c r="F241" t="str">
        <f t="shared" si="3"/>
        <v>$10,000,001-$20,000,000100000500000</v>
      </c>
      <c r="G241" s="13">
        <v>0.72</v>
      </c>
    </row>
    <row r="242" spans="1:7" x14ac:dyDescent="0.35">
      <c r="A242" s="1" t="s">
        <v>31</v>
      </c>
      <c r="B242" s="13">
        <v>100000</v>
      </c>
      <c r="C242" s="13">
        <v>1000000</v>
      </c>
      <c r="D242" s="13">
        <v>0.94</v>
      </c>
      <c r="F242" t="str">
        <f t="shared" si="3"/>
        <v>$10,000,001-$20,000,0001000001000000</v>
      </c>
      <c r="G242" s="13">
        <v>0.94</v>
      </c>
    </row>
    <row r="243" spans="1:7" x14ac:dyDescent="0.35">
      <c r="A243" s="1" t="s">
        <v>31</v>
      </c>
      <c r="B243" s="13">
        <v>100000</v>
      </c>
      <c r="C243" s="13">
        <v>2000000</v>
      </c>
      <c r="D243" s="13">
        <v>1.44</v>
      </c>
      <c r="F243" t="str">
        <f t="shared" si="3"/>
        <v>$10,000,001-$20,000,0001000002000000</v>
      </c>
      <c r="G243" s="13">
        <v>1.44</v>
      </c>
    </row>
    <row r="244" spans="1:7" x14ac:dyDescent="0.35">
      <c r="A244" s="1" t="s">
        <v>31</v>
      </c>
      <c r="B244" s="13">
        <v>100000</v>
      </c>
      <c r="C244" s="13">
        <v>3000000</v>
      </c>
      <c r="D244" s="13">
        <v>1.88</v>
      </c>
      <c r="F244" t="str">
        <f t="shared" si="3"/>
        <v>$10,000,001-$20,000,0001000003000000</v>
      </c>
      <c r="G244" s="13">
        <v>1.88</v>
      </c>
    </row>
    <row r="245" spans="1:7" x14ac:dyDescent="0.35">
      <c r="A245" s="1" t="s">
        <v>31</v>
      </c>
      <c r="B245" s="13">
        <v>100000</v>
      </c>
      <c r="C245" s="13">
        <v>5000000</v>
      </c>
      <c r="D245" s="13">
        <v>2.38</v>
      </c>
      <c r="F245" t="str">
        <f t="shared" si="3"/>
        <v>$10,000,001-$20,000,0001000005000000</v>
      </c>
      <c r="G245" s="13">
        <v>2.38</v>
      </c>
    </row>
    <row r="246" spans="1:7" x14ac:dyDescent="0.35">
      <c r="A246" s="18" t="s">
        <v>32</v>
      </c>
      <c r="B246" s="19">
        <v>1000</v>
      </c>
      <c r="C246" s="19">
        <v>500000</v>
      </c>
      <c r="D246" s="19">
        <v>99</v>
      </c>
      <c r="F246" t="str">
        <f t="shared" si="3"/>
        <v>$20,000,001-$40,000,0001000500000</v>
      </c>
      <c r="G246" s="19">
        <v>99</v>
      </c>
    </row>
    <row r="247" spans="1:7" x14ac:dyDescent="0.35">
      <c r="A247" s="18" t="s">
        <v>32</v>
      </c>
      <c r="B247" s="19">
        <v>1000</v>
      </c>
      <c r="C247" s="19">
        <v>1000000</v>
      </c>
      <c r="D247" s="19">
        <v>99</v>
      </c>
      <c r="F247" t="str">
        <f t="shared" si="3"/>
        <v>$20,000,001-$40,000,00010001000000</v>
      </c>
      <c r="G247" s="19">
        <v>99</v>
      </c>
    </row>
    <row r="248" spans="1:7" x14ac:dyDescent="0.35">
      <c r="A248" s="18" t="s">
        <v>32</v>
      </c>
      <c r="B248" s="19">
        <v>1000</v>
      </c>
      <c r="C248" s="19">
        <v>2000000</v>
      </c>
      <c r="D248" s="19">
        <v>99</v>
      </c>
      <c r="F248" t="str">
        <f t="shared" si="3"/>
        <v>$20,000,001-$40,000,00010002000000</v>
      </c>
      <c r="G248" s="19">
        <v>99</v>
      </c>
    </row>
    <row r="249" spans="1:7" x14ac:dyDescent="0.35">
      <c r="A249" s="18" t="s">
        <v>32</v>
      </c>
      <c r="B249" s="19">
        <v>1000</v>
      </c>
      <c r="C249" s="19">
        <v>3000000</v>
      </c>
      <c r="D249" s="19">
        <v>99</v>
      </c>
      <c r="F249" t="str">
        <f t="shared" si="3"/>
        <v>$20,000,001-$40,000,00010003000000</v>
      </c>
      <c r="G249" s="19">
        <v>99</v>
      </c>
    </row>
    <row r="250" spans="1:7" x14ac:dyDescent="0.35">
      <c r="A250" s="18" t="s">
        <v>32</v>
      </c>
      <c r="B250" s="19">
        <v>1000</v>
      </c>
      <c r="C250" s="19">
        <v>5000000</v>
      </c>
      <c r="D250" s="19">
        <v>99</v>
      </c>
      <c r="F250" t="str">
        <f t="shared" si="3"/>
        <v>$20,000,001-$40,000,00010005000000</v>
      </c>
      <c r="G250" s="19">
        <v>99</v>
      </c>
    </row>
    <row r="251" spans="1:7" x14ac:dyDescent="0.35">
      <c r="A251" s="18" t="s">
        <v>32</v>
      </c>
      <c r="B251" s="19">
        <v>2500</v>
      </c>
      <c r="C251" s="19">
        <v>500000</v>
      </c>
      <c r="D251" s="19">
        <v>0.96</v>
      </c>
      <c r="F251" t="str">
        <f t="shared" si="3"/>
        <v>$20,000,001-$40,000,0002500500000</v>
      </c>
      <c r="G251" s="19">
        <v>0.96</v>
      </c>
    </row>
    <row r="252" spans="1:7" x14ac:dyDescent="0.35">
      <c r="A252" s="18" t="s">
        <v>32</v>
      </c>
      <c r="B252" s="19">
        <v>2500</v>
      </c>
      <c r="C252" s="19">
        <v>1000000</v>
      </c>
      <c r="D252" s="19">
        <v>1.21</v>
      </c>
      <c r="F252" t="str">
        <f t="shared" si="3"/>
        <v>$20,000,001-$40,000,00025001000000</v>
      </c>
      <c r="G252" s="19">
        <v>1.21</v>
      </c>
    </row>
    <row r="253" spans="1:7" x14ac:dyDescent="0.35">
      <c r="A253" s="18" t="s">
        <v>32</v>
      </c>
      <c r="B253" s="19">
        <v>2500</v>
      </c>
      <c r="C253" s="19">
        <v>2000000</v>
      </c>
      <c r="D253" s="19">
        <v>1.73</v>
      </c>
      <c r="F253" t="str">
        <f t="shared" si="3"/>
        <v>$20,000,001-$40,000,00025002000000</v>
      </c>
      <c r="G253" s="19">
        <v>1.73</v>
      </c>
    </row>
    <row r="254" spans="1:7" x14ac:dyDescent="0.35">
      <c r="A254" s="18" t="s">
        <v>32</v>
      </c>
      <c r="B254" s="19">
        <v>2500</v>
      </c>
      <c r="C254" s="19">
        <v>3000000</v>
      </c>
      <c r="D254" s="19">
        <v>2.16</v>
      </c>
      <c r="F254" t="str">
        <f t="shared" si="3"/>
        <v>$20,000,001-$40,000,00025003000000</v>
      </c>
      <c r="G254" s="19">
        <v>2.16</v>
      </c>
    </row>
    <row r="255" spans="1:7" x14ac:dyDescent="0.35">
      <c r="A255" s="18" t="s">
        <v>32</v>
      </c>
      <c r="B255" s="19">
        <v>2500</v>
      </c>
      <c r="C255" s="19">
        <v>5000000</v>
      </c>
      <c r="D255" s="19">
        <v>2.66</v>
      </c>
      <c r="F255" t="str">
        <f t="shared" si="3"/>
        <v>$20,000,001-$40,000,00025005000000</v>
      </c>
      <c r="G255" s="19">
        <v>2.66</v>
      </c>
    </row>
    <row r="256" spans="1:7" x14ac:dyDescent="0.35">
      <c r="A256" s="18" t="s">
        <v>32</v>
      </c>
      <c r="B256" s="19">
        <v>5000</v>
      </c>
      <c r="C256" s="19">
        <v>500000</v>
      </c>
      <c r="D256" s="19">
        <v>0.91</v>
      </c>
      <c r="F256" t="str">
        <f t="shared" si="3"/>
        <v>$20,000,001-$40,000,0005000500000</v>
      </c>
      <c r="G256" s="19">
        <v>0.91</v>
      </c>
    </row>
    <row r="257" spans="1:7" x14ac:dyDescent="0.35">
      <c r="A257" s="18" t="s">
        <v>32</v>
      </c>
      <c r="B257" s="19">
        <v>5000</v>
      </c>
      <c r="C257" s="19">
        <v>1000000</v>
      </c>
      <c r="D257" s="19">
        <v>1.1499999999999999</v>
      </c>
      <c r="F257" t="str">
        <f t="shared" si="3"/>
        <v>$20,000,001-$40,000,00050001000000</v>
      </c>
      <c r="G257" s="19">
        <v>1.1499999999999999</v>
      </c>
    </row>
    <row r="258" spans="1:7" x14ac:dyDescent="0.35">
      <c r="A258" s="18" t="s">
        <v>32</v>
      </c>
      <c r="B258" s="19">
        <v>5000</v>
      </c>
      <c r="C258" s="19">
        <v>2000000</v>
      </c>
      <c r="D258" s="19">
        <v>1.65</v>
      </c>
      <c r="F258" t="str">
        <f t="shared" ref="F258:F315" si="4">CONCATENATE(A258,B258,C258)</f>
        <v>$20,000,001-$40,000,00050002000000</v>
      </c>
      <c r="G258" s="19">
        <v>1.65</v>
      </c>
    </row>
    <row r="259" spans="1:7" x14ac:dyDescent="0.35">
      <c r="A259" s="18" t="s">
        <v>32</v>
      </c>
      <c r="B259" s="19">
        <v>5000</v>
      </c>
      <c r="C259" s="19">
        <v>3000000</v>
      </c>
      <c r="D259" s="19">
        <v>2.09</v>
      </c>
      <c r="F259" t="str">
        <f t="shared" si="4"/>
        <v>$20,000,001-$40,000,00050003000000</v>
      </c>
      <c r="G259" s="19">
        <v>2.09</v>
      </c>
    </row>
    <row r="260" spans="1:7" x14ac:dyDescent="0.35">
      <c r="A260" s="18" t="s">
        <v>32</v>
      </c>
      <c r="B260" s="19">
        <v>5000</v>
      </c>
      <c r="C260" s="19">
        <v>5000000</v>
      </c>
      <c r="D260" s="19">
        <v>2.58</v>
      </c>
      <c r="F260" t="str">
        <f t="shared" si="4"/>
        <v>$20,000,001-$40,000,00050005000000</v>
      </c>
      <c r="G260" s="19">
        <v>2.58</v>
      </c>
    </row>
    <row r="261" spans="1:7" x14ac:dyDescent="0.35">
      <c r="A261" s="18" t="s">
        <v>32</v>
      </c>
      <c r="B261" s="19">
        <v>10000</v>
      </c>
      <c r="C261" s="19">
        <v>500000</v>
      </c>
      <c r="D261" s="19">
        <v>0.86</v>
      </c>
      <c r="F261" t="str">
        <f t="shared" si="4"/>
        <v>$20,000,001-$40,000,00010000500000</v>
      </c>
      <c r="G261" s="19">
        <v>0.86</v>
      </c>
    </row>
    <row r="262" spans="1:7" x14ac:dyDescent="0.35">
      <c r="A262" s="18" t="s">
        <v>32</v>
      </c>
      <c r="B262" s="19">
        <v>10000</v>
      </c>
      <c r="C262" s="19">
        <v>1000000</v>
      </c>
      <c r="D262" s="19">
        <v>1.0900000000000001</v>
      </c>
      <c r="F262" t="str">
        <f t="shared" si="4"/>
        <v>$20,000,001-$40,000,000100001000000</v>
      </c>
      <c r="G262" s="19">
        <v>1.0900000000000001</v>
      </c>
    </row>
    <row r="263" spans="1:7" x14ac:dyDescent="0.35">
      <c r="A263" s="18" t="s">
        <v>32</v>
      </c>
      <c r="B263" s="19">
        <v>10000</v>
      </c>
      <c r="C263" s="19">
        <v>2000000</v>
      </c>
      <c r="D263" s="19">
        <v>1.59</v>
      </c>
      <c r="F263" t="str">
        <f t="shared" si="4"/>
        <v>$20,000,001-$40,000,000100002000000</v>
      </c>
      <c r="G263" s="19">
        <v>1.59</v>
      </c>
    </row>
    <row r="264" spans="1:7" x14ac:dyDescent="0.35">
      <c r="A264" s="18" t="s">
        <v>32</v>
      </c>
      <c r="B264" s="19">
        <v>10000</v>
      </c>
      <c r="C264" s="19">
        <v>3000000</v>
      </c>
      <c r="D264" s="19">
        <v>2.0299999999999998</v>
      </c>
      <c r="F264" t="str">
        <f t="shared" si="4"/>
        <v>$20,000,001-$40,000,000100003000000</v>
      </c>
      <c r="G264" s="19">
        <v>2.0299999999999998</v>
      </c>
    </row>
    <row r="265" spans="1:7" x14ac:dyDescent="0.35">
      <c r="A265" s="18" t="s">
        <v>32</v>
      </c>
      <c r="B265" s="19">
        <v>10000</v>
      </c>
      <c r="C265" s="19">
        <v>5000000</v>
      </c>
      <c r="D265" s="19">
        <v>2.5299999999999998</v>
      </c>
      <c r="F265" t="str">
        <f t="shared" si="4"/>
        <v>$20,000,001-$40,000,000100005000000</v>
      </c>
      <c r="G265" s="19">
        <v>2.5299999999999998</v>
      </c>
    </row>
    <row r="266" spans="1:7" x14ac:dyDescent="0.35">
      <c r="A266" s="18" t="s">
        <v>32</v>
      </c>
      <c r="B266" s="19">
        <v>25000</v>
      </c>
      <c r="C266" s="19">
        <v>500000</v>
      </c>
      <c r="D266" s="19">
        <v>0.82</v>
      </c>
      <c r="F266" t="str">
        <f t="shared" si="4"/>
        <v>$20,000,001-$40,000,00025000500000</v>
      </c>
      <c r="G266" s="19">
        <v>0.82</v>
      </c>
    </row>
    <row r="267" spans="1:7" x14ac:dyDescent="0.35">
      <c r="A267" s="18" t="s">
        <v>32</v>
      </c>
      <c r="B267" s="19">
        <v>25000</v>
      </c>
      <c r="C267" s="19">
        <v>1000000</v>
      </c>
      <c r="D267" s="19">
        <v>1.02</v>
      </c>
      <c r="F267" t="str">
        <f t="shared" si="4"/>
        <v>$20,000,001-$40,000,000250001000000</v>
      </c>
      <c r="G267" s="19">
        <v>1.02</v>
      </c>
    </row>
    <row r="268" spans="1:7" x14ac:dyDescent="0.35">
      <c r="A268" s="18" t="s">
        <v>32</v>
      </c>
      <c r="B268" s="19">
        <v>25000</v>
      </c>
      <c r="C268" s="19">
        <v>2000000</v>
      </c>
      <c r="D268" s="19">
        <v>1.54</v>
      </c>
      <c r="F268" t="str">
        <f t="shared" si="4"/>
        <v>$20,000,001-$40,000,000250002000000</v>
      </c>
      <c r="G268" s="19">
        <v>1.54</v>
      </c>
    </row>
    <row r="269" spans="1:7" x14ac:dyDescent="0.35">
      <c r="A269" s="18" t="s">
        <v>32</v>
      </c>
      <c r="B269" s="19">
        <v>25000</v>
      </c>
      <c r="C269" s="19">
        <v>3000000</v>
      </c>
      <c r="D269" s="19">
        <v>1.98</v>
      </c>
      <c r="F269" t="str">
        <f t="shared" si="4"/>
        <v>$20,000,001-$40,000,000250003000000</v>
      </c>
      <c r="G269" s="19">
        <v>1.98</v>
      </c>
    </row>
    <row r="270" spans="1:7" x14ac:dyDescent="0.35">
      <c r="A270" s="18" t="s">
        <v>32</v>
      </c>
      <c r="B270" s="19">
        <v>25000</v>
      </c>
      <c r="C270" s="19">
        <v>5000000</v>
      </c>
      <c r="D270" s="19">
        <v>2.48</v>
      </c>
      <c r="F270" t="str">
        <f t="shared" si="4"/>
        <v>$20,000,001-$40,000,000250005000000</v>
      </c>
      <c r="G270" s="19">
        <v>2.48</v>
      </c>
    </row>
    <row r="271" spans="1:7" x14ac:dyDescent="0.35">
      <c r="A271" s="18" t="s">
        <v>32</v>
      </c>
      <c r="B271" s="19">
        <v>50000</v>
      </c>
      <c r="C271" s="19">
        <v>500000</v>
      </c>
      <c r="D271" s="19">
        <v>0.77</v>
      </c>
      <c r="F271" t="str">
        <f t="shared" si="4"/>
        <v>$20,000,001-$40,000,00050000500000</v>
      </c>
      <c r="G271" s="19">
        <v>0.77</v>
      </c>
    </row>
    <row r="272" spans="1:7" x14ac:dyDescent="0.35">
      <c r="A272" s="18" t="s">
        <v>32</v>
      </c>
      <c r="B272" s="19">
        <v>50000</v>
      </c>
      <c r="C272" s="19">
        <v>1000000</v>
      </c>
      <c r="D272" s="19">
        <v>0.98</v>
      </c>
      <c r="F272" t="str">
        <f t="shared" si="4"/>
        <v>$20,000,001-$40,000,000500001000000</v>
      </c>
      <c r="G272" s="19">
        <v>0.98</v>
      </c>
    </row>
    <row r="273" spans="1:7" x14ac:dyDescent="0.35">
      <c r="A273" s="18" t="s">
        <v>32</v>
      </c>
      <c r="B273" s="19">
        <v>50000</v>
      </c>
      <c r="C273" s="19">
        <v>2000000</v>
      </c>
      <c r="D273" s="19">
        <v>1.5</v>
      </c>
      <c r="F273" t="str">
        <f t="shared" si="4"/>
        <v>$20,000,001-$40,000,000500002000000</v>
      </c>
      <c r="G273" s="19">
        <v>1.5</v>
      </c>
    </row>
    <row r="274" spans="1:7" x14ac:dyDescent="0.35">
      <c r="A274" s="18" t="s">
        <v>32</v>
      </c>
      <c r="B274" s="19">
        <v>50000</v>
      </c>
      <c r="C274" s="19">
        <v>3000000</v>
      </c>
      <c r="D274" s="19">
        <v>1.93</v>
      </c>
      <c r="F274" t="str">
        <f t="shared" si="4"/>
        <v>$20,000,001-$40,000,000500003000000</v>
      </c>
      <c r="G274" s="19">
        <v>1.93</v>
      </c>
    </row>
    <row r="275" spans="1:7" x14ac:dyDescent="0.35">
      <c r="A275" s="18" t="s">
        <v>32</v>
      </c>
      <c r="B275" s="19">
        <v>50000</v>
      </c>
      <c r="C275" s="19">
        <v>5000000</v>
      </c>
      <c r="D275" s="19">
        <v>2.4300000000000002</v>
      </c>
      <c r="F275" t="str">
        <f t="shared" si="4"/>
        <v>$20,000,001-$40,000,000500005000000</v>
      </c>
      <c r="G275" s="19">
        <v>2.4300000000000002</v>
      </c>
    </row>
    <row r="276" spans="1:7" x14ac:dyDescent="0.35">
      <c r="A276" s="18" t="s">
        <v>32</v>
      </c>
      <c r="B276" s="19">
        <v>100000</v>
      </c>
      <c r="C276" s="19">
        <v>500000</v>
      </c>
      <c r="D276" s="19">
        <v>0.72</v>
      </c>
      <c r="F276" t="str">
        <f t="shared" si="4"/>
        <v>$20,000,001-$40,000,000100000500000</v>
      </c>
      <c r="G276" s="19">
        <v>0.72</v>
      </c>
    </row>
    <row r="277" spans="1:7" x14ac:dyDescent="0.35">
      <c r="A277" s="18" t="s">
        <v>32</v>
      </c>
      <c r="B277" s="19">
        <v>100000</v>
      </c>
      <c r="C277" s="19">
        <v>1000000</v>
      </c>
      <c r="D277" s="19">
        <v>0.94</v>
      </c>
      <c r="F277" t="str">
        <f t="shared" si="4"/>
        <v>$20,000,001-$40,000,0001000001000000</v>
      </c>
      <c r="G277" s="19">
        <v>0.94</v>
      </c>
    </row>
    <row r="278" spans="1:7" x14ac:dyDescent="0.35">
      <c r="A278" s="18" t="s">
        <v>32</v>
      </c>
      <c r="B278" s="19">
        <v>100000</v>
      </c>
      <c r="C278" s="19">
        <v>2000000</v>
      </c>
      <c r="D278" s="19">
        <v>1.44</v>
      </c>
      <c r="F278" t="str">
        <f t="shared" si="4"/>
        <v>$20,000,001-$40,000,0001000002000000</v>
      </c>
      <c r="G278" s="19">
        <v>1.44</v>
      </c>
    </row>
    <row r="279" spans="1:7" x14ac:dyDescent="0.35">
      <c r="A279" s="18" t="s">
        <v>32</v>
      </c>
      <c r="B279" s="19">
        <v>100000</v>
      </c>
      <c r="C279" s="19">
        <v>3000000</v>
      </c>
      <c r="D279" s="19">
        <v>1.88</v>
      </c>
      <c r="F279" t="str">
        <f t="shared" si="4"/>
        <v>$20,000,001-$40,000,0001000003000000</v>
      </c>
      <c r="G279" s="19">
        <v>1.88</v>
      </c>
    </row>
    <row r="280" spans="1:7" x14ac:dyDescent="0.35">
      <c r="A280" s="18" t="s">
        <v>32</v>
      </c>
      <c r="B280" s="19">
        <v>100000</v>
      </c>
      <c r="C280" s="19">
        <v>5000000</v>
      </c>
      <c r="D280" s="19">
        <v>2.38</v>
      </c>
      <c r="F280" t="str">
        <f t="shared" si="4"/>
        <v>$20,000,001-$40,000,0001000005000000</v>
      </c>
      <c r="G280" s="19">
        <v>2.38</v>
      </c>
    </row>
    <row r="281" spans="1:7" x14ac:dyDescent="0.35">
      <c r="A281" s="1" t="s">
        <v>33</v>
      </c>
      <c r="B281" s="20">
        <v>1000</v>
      </c>
      <c r="C281" s="20">
        <v>500000</v>
      </c>
      <c r="D281" s="20">
        <v>99</v>
      </c>
      <c r="F281" t="str">
        <f t="shared" si="4"/>
        <v>$40,000,001-$60,000,0001000500000</v>
      </c>
      <c r="G281" s="20">
        <v>99</v>
      </c>
    </row>
    <row r="282" spans="1:7" x14ac:dyDescent="0.35">
      <c r="A282" s="1" t="s">
        <v>33</v>
      </c>
      <c r="B282" s="20">
        <v>1000</v>
      </c>
      <c r="C282" s="20">
        <v>1000000</v>
      </c>
      <c r="D282" s="20">
        <v>99</v>
      </c>
      <c r="F282" t="str">
        <f t="shared" si="4"/>
        <v>$40,000,001-$60,000,00010001000000</v>
      </c>
      <c r="G282" s="20">
        <v>99</v>
      </c>
    </row>
    <row r="283" spans="1:7" x14ac:dyDescent="0.35">
      <c r="A283" s="1" t="s">
        <v>33</v>
      </c>
      <c r="B283" s="20">
        <v>1000</v>
      </c>
      <c r="C283" s="20">
        <v>2000000</v>
      </c>
      <c r="D283" s="20">
        <v>99</v>
      </c>
      <c r="F283" t="str">
        <f t="shared" si="4"/>
        <v>$40,000,001-$60,000,00010002000000</v>
      </c>
      <c r="G283" s="20">
        <v>99</v>
      </c>
    </row>
    <row r="284" spans="1:7" x14ac:dyDescent="0.35">
      <c r="A284" s="1" t="s">
        <v>33</v>
      </c>
      <c r="B284" s="20">
        <v>1000</v>
      </c>
      <c r="C284" s="20">
        <v>3000000</v>
      </c>
      <c r="D284" s="20">
        <v>99</v>
      </c>
      <c r="F284" t="str">
        <f t="shared" si="4"/>
        <v>$40,000,001-$60,000,00010003000000</v>
      </c>
      <c r="G284" s="20">
        <v>99</v>
      </c>
    </row>
    <row r="285" spans="1:7" x14ac:dyDescent="0.35">
      <c r="A285" s="1" t="s">
        <v>33</v>
      </c>
      <c r="B285" s="20">
        <v>1000</v>
      </c>
      <c r="C285" s="20">
        <v>5000000</v>
      </c>
      <c r="D285" s="20">
        <v>99</v>
      </c>
      <c r="F285" t="str">
        <f t="shared" si="4"/>
        <v>$40,000,001-$60,000,00010005000000</v>
      </c>
      <c r="G285" s="20">
        <v>99</v>
      </c>
    </row>
    <row r="286" spans="1:7" x14ac:dyDescent="0.35">
      <c r="A286" s="1" t="s">
        <v>33</v>
      </c>
      <c r="B286" s="20">
        <v>2500</v>
      </c>
      <c r="C286" s="20">
        <v>500000</v>
      </c>
      <c r="D286" s="20">
        <v>0.96</v>
      </c>
      <c r="F286" t="str">
        <f t="shared" si="4"/>
        <v>$40,000,001-$60,000,0002500500000</v>
      </c>
      <c r="G286" s="20">
        <v>0.96</v>
      </c>
    </row>
    <row r="287" spans="1:7" x14ac:dyDescent="0.35">
      <c r="A287" s="1" t="s">
        <v>33</v>
      </c>
      <c r="B287" s="20">
        <v>2500</v>
      </c>
      <c r="C287" s="20">
        <v>1000000</v>
      </c>
      <c r="D287" s="20">
        <v>1.21</v>
      </c>
      <c r="F287" t="str">
        <f t="shared" si="4"/>
        <v>$40,000,001-$60,000,00025001000000</v>
      </c>
      <c r="G287" s="20">
        <v>1.21</v>
      </c>
    </row>
    <row r="288" spans="1:7" x14ac:dyDescent="0.35">
      <c r="A288" s="1" t="s">
        <v>33</v>
      </c>
      <c r="B288" s="20">
        <v>2500</v>
      </c>
      <c r="C288" s="20">
        <v>2000000</v>
      </c>
      <c r="D288" s="20">
        <v>1.73</v>
      </c>
      <c r="F288" t="str">
        <f t="shared" si="4"/>
        <v>$40,000,001-$60,000,00025002000000</v>
      </c>
      <c r="G288" s="20">
        <v>1.73</v>
      </c>
    </row>
    <row r="289" spans="1:7" x14ac:dyDescent="0.35">
      <c r="A289" s="1" t="s">
        <v>33</v>
      </c>
      <c r="B289" s="20">
        <v>2500</v>
      </c>
      <c r="C289" s="20">
        <v>3000000</v>
      </c>
      <c r="D289" s="20">
        <v>2.16</v>
      </c>
      <c r="F289" t="str">
        <f t="shared" si="4"/>
        <v>$40,000,001-$60,000,00025003000000</v>
      </c>
      <c r="G289" s="20">
        <v>2.16</v>
      </c>
    </row>
    <row r="290" spans="1:7" x14ac:dyDescent="0.35">
      <c r="A290" s="1" t="s">
        <v>33</v>
      </c>
      <c r="B290" s="20">
        <v>2500</v>
      </c>
      <c r="C290" s="20">
        <v>5000000</v>
      </c>
      <c r="D290" s="20">
        <v>2.66</v>
      </c>
      <c r="F290" t="str">
        <f t="shared" si="4"/>
        <v>$40,000,001-$60,000,00025005000000</v>
      </c>
      <c r="G290" s="20">
        <v>2.66</v>
      </c>
    </row>
    <row r="291" spans="1:7" x14ac:dyDescent="0.35">
      <c r="A291" s="1" t="s">
        <v>33</v>
      </c>
      <c r="B291" s="20">
        <v>5000</v>
      </c>
      <c r="C291" s="20">
        <v>500000</v>
      </c>
      <c r="D291" s="20">
        <v>0.91</v>
      </c>
      <c r="F291" t="str">
        <f t="shared" si="4"/>
        <v>$40,000,001-$60,000,0005000500000</v>
      </c>
      <c r="G291" s="20">
        <v>0.91</v>
      </c>
    </row>
    <row r="292" spans="1:7" x14ac:dyDescent="0.35">
      <c r="A292" s="1" t="s">
        <v>33</v>
      </c>
      <c r="B292" s="20">
        <v>5000</v>
      </c>
      <c r="C292" s="20">
        <v>1000000</v>
      </c>
      <c r="D292" s="20">
        <v>1.1499999999999999</v>
      </c>
      <c r="F292" t="str">
        <f t="shared" si="4"/>
        <v>$40,000,001-$60,000,00050001000000</v>
      </c>
      <c r="G292" s="20">
        <v>1.1499999999999999</v>
      </c>
    </row>
    <row r="293" spans="1:7" x14ac:dyDescent="0.35">
      <c r="A293" s="1" t="s">
        <v>33</v>
      </c>
      <c r="B293" s="20">
        <v>5000</v>
      </c>
      <c r="C293" s="20">
        <v>2000000</v>
      </c>
      <c r="D293" s="20">
        <v>1.65</v>
      </c>
      <c r="F293" t="str">
        <f t="shared" si="4"/>
        <v>$40,000,001-$60,000,00050002000000</v>
      </c>
      <c r="G293" s="20">
        <v>1.65</v>
      </c>
    </row>
    <row r="294" spans="1:7" x14ac:dyDescent="0.35">
      <c r="A294" s="1" t="s">
        <v>33</v>
      </c>
      <c r="B294" s="20">
        <v>5000</v>
      </c>
      <c r="C294" s="20">
        <v>3000000</v>
      </c>
      <c r="D294" s="20">
        <v>2.09</v>
      </c>
      <c r="F294" t="str">
        <f t="shared" si="4"/>
        <v>$40,000,001-$60,000,00050003000000</v>
      </c>
      <c r="G294" s="20">
        <v>2.09</v>
      </c>
    </row>
    <row r="295" spans="1:7" x14ac:dyDescent="0.35">
      <c r="A295" s="1" t="s">
        <v>33</v>
      </c>
      <c r="B295" s="20">
        <v>5000</v>
      </c>
      <c r="C295" s="20">
        <v>5000000</v>
      </c>
      <c r="D295" s="20">
        <v>2.58</v>
      </c>
      <c r="F295" t="str">
        <f t="shared" si="4"/>
        <v>$40,000,001-$60,000,00050005000000</v>
      </c>
      <c r="G295" s="20">
        <v>2.58</v>
      </c>
    </row>
    <row r="296" spans="1:7" x14ac:dyDescent="0.35">
      <c r="A296" s="1" t="s">
        <v>33</v>
      </c>
      <c r="B296" s="20">
        <v>10000</v>
      </c>
      <c r="C296" s="20">
        <v>500000</v>
      </c>
      <c r="D296" s="20">
        <v>0.86</v>
      </c>
      <c r="F296" t="str">
        <f t="shared" si="4"/>
        <v>$40,000,001-$60,000,00010000500000</v>
      </c>
      <c r="G296" s="20">
        <v>0.86</v>
      </c>
    </row>
    <row r="297" spans="1:7" x14ac:dyDescent="0.35">
      <c r="A297" s="1" t="s">
        <v>33</v>
      </c>
      <c r="B297" s="20">
        <v>10000</v>
      </c>
      <c r="C297" s="20">
        <v>1000000</v>
      </c>
      <c r="D297" s="20">
        <v>1.0900000000000001</v>
      </c>
      <c r="F297" t="str">
        <f t="shared" si="4"/>
        <v>$40,000,001-$60,000,000100001000000</v>
      </c>
      <c r="G297" s="20">
        <v>1.0900000000000001</v>
      </c>
    </row>
    <row r="298" spans="1:7" x14ac:dyDescent="0.35">
      <c r="A298" s="1" t="s">
        <v>33</v>
      </c>
      <c r="B298" s="20">
        <v>10000</v>
      </c>
      <c r="C298" s="20">
        <v>2000000</v>
      </c>
      <c r="D298" s="20">
        <v>1.59</v>
      </c>
      <c r="F298" t="str">
        <f t="shared" si="4"/>
        <v>$40,000,001-$60,000,000100002000000</v>
      </c>
      <c r="G298" s="20">
        <v>1.59</v>
      </c>
    </row>
    <row r="299" spans="1:7" x14ac:dyDescent="0.35">
      <c r="A299" s="1" t="s">
        <v>33</v>
      </c>
      <c r="B299" s="20">
        <v>10000</v>
      </c>
      <c r="C299" s="20">
        <v>3000000</v>
      </c>
      <c r="D299" s="20">
        <v>2.0299999999999998</v>
      </c>
      <c r="F299" t="str">
        <f t="shared" si="4"/>
        <v>$40,000,001-$60,000,000100003000000</v>
      </c>
      <c r="G299" s="20">
        <v>2.0299999999999998</v>
      </c>
    </row>
    <row r="300" spans="1:7" x14ac:dyDescent="0.35">
      <c r="A300" s="1" t="s">
        <v>33</v>
      </c>
      <c r="B300" s="20">
        <v>10000</v>
      </c>
      <c r="C300" s="20">
        <v>5000000</v>
      </c>
      <c r="D300" s="20">
        <v>2.5299999999999998</v>
      </c>
      <c r="F300" t="str">
        <f t="shared" si="4"/>
        <v>$40,000,001-$60,000,000100005000000</v>
      </c>
      <c r="G300" s="20">
        <v>2.5299999999999998</v>
      </c>
    </row>
    <row r="301" spans="1:7" x14ac:dyDescent="0.35">
      <c r="A301" s="1" t="s">
        <v>33</v>
      </c>
      <c r="B301" s="20">
        <v>25000</v>
      </c>
      <c r="C301" s="20">
        <v>500000</v>
      </c>
      <c r="D301" s="20">
        <v>0.82</v>
      </c>
      <c r="F301" t="str">
        <f t="shared" si="4"/>
        <v>$40,000,001-$60,000,00025000500000</v>
      </c>
      <c r="G301" s="20">
        <v>0.82</v>
      </c>
    </row>
    <row r="302" spans="1:7" x14ac:dyDescent="0.35">
      <c r="A302" s="1" t="s">
        <v>33</v>
      </c>
      <c r="B302" s="20">
        <v>25000</v>
      </c>
      <c r="C302" s="20">
        <v>1000000</v>
      </c>
      <c r="D302" s="20">
        <v>1.02</v>
      </c>
      <c r="F302" t="str">
        <f t="shared" si="4"/>
        <v>$40,000,001-$60,000,000250001000000</v>
      </c>
      <c r="G302" s="20">
        <v>1.02</v>
      </c>
    </row>
    <row r="303" spans="1:7" x14ac:dyDescent="0.35">
      <c r="A303" s="1" t="s">
        <v>33</v>
      </c>
      <c r="B303" s="20">
        <v>25000</v>
      </c>
      <c r="C303" s="20">
        <v>2000000</v>
      </c>
      <c r="D303" s="20">
        <v>1.54</v>
      </c>
      <c r="F303" t="str">
        <f t="shared" si="4"/>
        <v>$40,000,001-$60,000,000250002000000</v>
      </c>
      <c r="G303" s="20">
        <v>1.54</v>
      </c>
    </row>
    <row r="304" spans="1:7" x14ac:dyDescent="0.35">
      <c r="A304" s="1" t="s">
        <v>33</v>
      </c>
      <c r="B304" s="20">
        <v>25000</v>
      </c>
      <c r="C304" s="20">
        <v>3000000</v>
      </c>
      <c r="D304" s="20">
        <v>1.98</v>
      </c>
      <c r="F304" t="str">
        <f t="shared" si="4"/>
        <v>$40,000,001-$60,000,000250003000000</v>
      </c>
      <c r="G304" s="20">
        <v>1.98</v>
      </c>
    </row>
    <row r="305" spans="1:7" x14ac:dyDescent="0.35">
      <c r="A305" s="1" t="s">
        <v>33</v>
      </c>
      <c r="B305" s="20">
        <v>25000</v>
      </c>
      <c r="C305" s="20">
        <v>5000000</v>
      </c>
      <c r="D305" s="20">
        <v>2.48</v>
      </c>
      <c r="F305" t="str">
        <f t="shared" si="4"/>
        <v>$40,000,001-$60,000,000250005000000</v>
      </c>
      <c r="G305" s="20">
        <v>2.48</v>
      </c>
    </row>
    <row r="306" spans="1:7" x14ac:dyDescent="0.35">
      <c r="A306" s="1" t="s">
        <v>33</v>
      </c>
      <c r="B306" s="20">
        <v>50000</v>
      </c>
      <c r="C306" s="20">
        <v>500000</v>
      </c>
      <c r="D306" s="20">
        <v>0.77</v>
      </c>
      <c r="F306" t="str">
        <f t="shared" si="4"/>
        <v>$40,000,001-$60,000,00050000500000</v>
      </c>
      <c r="G306" s="20">
        <v>0.77</v>
      </c>
    </row>
    <row r="307" spans="1:7" x14ac:dyDescent="0.35">
      <c r="A307" s="1" t="s">
        <v>33</v>
      </c>
      <c r="B307" s="20">
        <v>50000</v>
      </c>
      <c r="C307" s="20">
        <v>1000000</v>
      </c>
      <c r="D307" s="20">
        <v>0.98</v>
      </c>
      <c r="F307" t="str">
        <f t="shared" si="4"/>
        <v>$40,000,001-$60,000,000500001000000</v>
      </c>
      <c r="G307" s="20">
        <v>0.98</v>
      </c>
    </row>
    <row r="308" spans="1:7" x14ac:dyDescent="0.35">
      <c r="A308" s="1" t="s">
        <v>33</v>
      </c>
      <c r="B308" s="20">
        <v>50000</v>
      </c>
      <c r="C308" s="20">
        <v>2000000</v>
      </c>
      <c r="D308" s="20">
        <v>1.5</v>
      </c>
      <c r="F308" t="str">
        <f t="shared" si="4"/>
        <v>$40,000,001-$60,000,000500002000000</v>
      </c>
      <c r="G308" s="20">
        <v>1.5</v>
      </c>
    </row>
    <row r="309" spans="1:7" x14ac:dyDescent="0.35">
      <c r="A309" s="1" t="s">
        <v>33</v>
      </c>
      <c r="B309" s="20">
        <v>50000</v>
      </c>
      <c r="C309" s="20">
        <v>3000000</v>
      </c>
      <c r="D309" s="20">
        <v>1.93</v>
      </c>
      <c r="F309" t="str">
        <f t="shared" si="4"/>
        <v>$40,000,001-$60,000,000500003000000</v>
      </c>
      <c r="G309" s="20">
        <v>1.93</v>
      </c>
    </row>
    <row r="310" spans="1:7" x14ac:dyDescent="0.35">
      <c r="A310" s="1" t="s">
        <v>33</v>
      </c>
      <c r="B310" s="20">
        <v>50000</v>
      </c>
      <c r="C310" s="20">
        <v>5000000</v>
      </c>
      <c r="D310" s="20">
        <v>2.4300000000000002</v>
      </c>
      <c r="F310" t="str">
        <f t="shared" si="4"/>
        <v>$40,000,001-$60,000,000500005000000</v>
      </c>
      <c r="G310" s="20">
        <v>2.4300000000000002</v>
      </c>
    </row>
    <row r="311" spans="1:7" x14ac:dyDescent="0.35">
      <c r="A311" s="1" t="s">
        <v>33</v>
      </c>
      <c r="B311" s="20">
        <v>100000</v>
      </c>
      <c r="C311" s="20">
        <v>500000</v>
      </c>
      <c r="D311" s="20">
        <v>0.72</v>
      </c>
      <c r="F311" t="str">
        <f t="shared" si="4"/>
        <v>$40,000,001-$60,000,000100000500000</v>
      </c>
      <c r="G311" s="20">
        <v>0.72</v>
      </c>
    </row>
    <row r="312" spans="1:7" x14ac:dyDescent="0.35">
      <c r="A312" s="1" t="s">
        <v>33</v>
      </c>
      <c r="B312" s="20">
        <v>100000</v>
      </c>
      <c r="C312" s="20">
        <v>1000000</v>
      </c>
      <c r="D312" s="20">
        <v>0.94</v>
      </c>
      <c r="F312" t="str">
        <f t="shared" si="4"/>
        <v>$40,000,001-$60,000,0001000001000000</v>
      </c>
      <c r="G312" s="20">
        <v>0.94</v>
      </c>
    </row>
    <row r="313" spans="1:7" x14ac:dyDescent="0.35">
      <c r="A313" s="1" t="s">
        <v>33</v>
      </c>
      <c r="B313" s="20">
        <v>100000</v>
      </c>
      <c r="C313" s="20">
        <v>2000000</v>
      </c>
      <c r="D313" s="20">
        <v>1.44</v>
      </c>
      <c r="F313" t="str">
        <f t="shared" si="4"/>
        <v>$40,000,001-$60,000,0001000002000000</v>
      </c>
      <c r="G313" s="20">
        <v>1.44</v>
      </c>
    </row>
    <row r="314" spans="1:7" x14ac:dyDescent="0.35">
      <c r="A314" s="1" t="s">
        <v>33</v>
      </c>
      <c r="B314" s="20">
        <v>100000</v>
      </c>
      <c r="C314" s="20">
        <v>3000000</v>
      </c>
      <c r="D314" s="20">
        <v>1.88</v>
      </c>
      <c r="F314" t="str">
        <f t="shared" si="4"/>
        <v>$40,000,001-$60,000,0001000003000000</v>
      </c>
      <c r="G314" s="20">
        <v>1.88</v>
      </c>
    </row>
    <row r="315" spans="1:7" x14ac:dyDescent="0.35">
      <c r="A315" s="1" t="s">
        <v>33</v>
      </c>
      <c r="B315" s="20">
        <v>100000</v>
      </c>
      <c r="C315" s="20">
        <v>5000000</v>
      </c>
      <c r="D315" s="20">
        <v>2.38</v>
      </c>
      <c r="F315" t="str">
        <f t="shared" si="4"/>
        <v>$40,000,001-$60,000,0001000005000000</v>
      </c>
      <c r="G315" s="20">
        <v>2.38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B79D-6897-46BD-A1CF-3FB07917F2F2}">
  <dimension ref="A1:B128"/>
  <sheetViews>
    <sheetView topLeftCell="A127" workbookViewId="0">
      <selection activeCell="D17" sqref="D17"/>
    </sheetView>
  </sheetViews>
  <sheetFormatPr defaultRowHeight="14.5" x14ac:dyDescent="0.35"/>
  <cols>
    <col min="1" max="1" width="49" customWidth="1"/>
    <col min="2" max="2" width="18.81640625" customWidth="1"/>
  </cols>
  <sheetData>
    <row r="1" spans="1:2" x14ac:dyDescent="0.35">
      <c r="A1" s="24" t="s">
        <v>103</v>
      </c>
      <c r="B1" s="25" t="s">
        <v>101</v>
      </c>
    </row>
    <row r="2" spans="1:2" x14ac:dyDescent="0.35">
      <c r="A2" s="26" t="s">
        <v>104</v>
      </c>
      <c r="B2" t="s">
        <v>8</v>
      </c>
    </row>
    <row r="3" spans="1:2" x14ac:dyDescent="0.35">
      <c r="A3" s="26" t="s">
        <v>105</v>
      </c>
      <c r="B3" t="s">
        <v>8</v>
      </c>
    </row>
    <row r="4" spans="1:2" x14ac:dyDescent="0.35">
      <c r="A4" s="26" t="s">
        <v>106</v>
      </c>
      <c r="B4" t="s">
        <v>8</v>
      </c>
    </row>
    <row r="5" spans="1:2" x14ac:dyDescent="0.35">
      <c r="A5" s="26" t="s">
        <v>107</v>
      </c>
      <c r="B5" t="s">
        <v>8</v>
      </c>
    </row>
    <row r="6" spans="1:2" x14ac:dyDescent="0.35">
      <c r="A6" s="26" t="s">
        <v>108</v>
      </c>
      <c r="B6" t="s">
        <v>8</v>
      </c>
    </row>
    <row r="7" spans="1:2" x14ac:dyDescent="0.35">
      <c r="A7" s="26" t="s">
        <v>109</v>
      </c>
      <c r="B7" t="s">
        <v>8</v>
      </c>
    </row>
    <row r="8" spans="1:2" x14ac:dyDescent="0.35">
      <c r="A8" s="26" t="s">
        <v>110</v>
      </c>
      <c r="B8" t="s">
        <v>8</v>
      </c>
    </row>
    <row r="9" spans="1:2" x14ac:dyDescent="0.35">
      <c r="A9" s="26" t="s">
        <v>111</v>
      </c>
      <c r="B9" t="s">
        <v>8</v>
      </c>
    </row>
    <row r="10" spans="1:2" x14ac:dyDescent="0.35">
      <c r="A10" s="26" t="s">
        <v>112</v>
      </c>
      <c r="B10" t="s">
        <v>8</v>
      </c>
    </row>
    <row r="11" spans="1:2" x14ac:dyDescent="0.35">
      <c r="A11" s="26" t="s">
        <v>113</v>
      </c>
      <c r="B11" t="s">
        <v>8</v>
      </c>
    </row>
    <row r="12" spans="1:2" x14ac:dyDescent="0.35">
      <c r="A12" s="26" t="s">
        <v>114</v>
      </c>
      <c r="B12" t="s">
        <v>8</v>
      </c>
    </row>
    <row r="13" spans="1:2" x14ac:dyDescent="0.35">
      <c r="A13" s="26" t="s">
        <v>115</v>
      </c>
      <c r="B13" t="s">
        <v>8</v>
      </c>
    </row>
    <row r="14" spans="1:2" x14ac:dyDescent="0.35">
      <c r="A14" s="26" t="s">
        <v>116</v>
      </c>
      <c r="B14" t="s">
        <v>8</v>
      </c>
    </row>
    <row r="15" spans="1:2" x14ac:dyDescent="0.35">
      <c r="A15" s="26" t="s">
        <v>117</v>
      </c>
      <c r="B15" t="s">
        <v>8</v>
      </c>
    </row>
    <row r="16" spans="1:2" x14ac:dyDescent="0.35">
      <c r="A16" s="26" t="s">
        <v>118</v>
      </c>
      <c r="B16" t="s">
        <v>8</v>
      </c>
    </row>
    <row r="17" spans="1:2" x14ac:dyDescent="0.35">
      <c r="A17" s="26" t="s">
        <v>119</v>
      </c>
      <c r="B17" t="s">
        <v>8</v>
      </c>
    </row>
    <row r="18" spans="1:2" x14ac:dyDescent="0.35">
      <c r="A18" s="26" t="s">
        <v>120</v>
      </c>
      <c r="B18" t="s">
        <v>8</v>
      </c>
    </row>
    <row r="19" spans="1:2" x14ac:dyDescent="0.35">
      <c r="A19" s="26" t="s">
        <v>121</v>
      </c>
      <c r="B19" t="s">
        <v>8</v>
      </c>
    </row>
    <row r="20" spans="1:2" x14ac:dyDescent="0.35">
      <c r="A20" s="26" t="s">
        <v>122</v>
      </c>
      <c r="B20" t="s">
        <v>8</v>
      </c>
    </row>
    <row r="21" spans="1:2" x14ac:dyDescent="0.35">
      <c r="A21" s="26" t="s">
        <v>123</v>
      </c>
      <c r="B21" t="s">
        <v>8</v>
      </c>
    </row>
    <row r="22" spans="1:2" x14ac:dyDescent="0.35">
      <c r="A22" s="26" t="s">
        <v>124</v>
      </c>
      <c r="B22" t="s">
        <v>8</v>
      </c>
    </row>
    <row r="23" spans="1:2" x14ac:dyDescent="0.35">
      <c r="A23" s="26" t="s">
        <v>125</v>
      </c>
      <c r="B23" t="s">
        <v>8</v>
      </c>
    </row>
    <row r="24" spans="1:2" x14ac:dyDescent="0.35">
      <c r="A24" s="26" t="s">
        <v>126</v>
      </c>
      <c r="B24" t="s">
        <v>8</v>
      </c>
    </row>
    <row r="25" spans="1:2" x14ac:dyDescent="0.35">
      <c r="A25" s="26" t="s">
        <v>127</v>
      </c>
      <c r="B25" t="s">
        <v>8</v>
      </c>
    </row>
    <row r="26" spans="1:2" x14ac:dyDescent="0.35">
      <c r="A26" s="26" t="s">
        <v>128</v>
      </c>
      <c r="B26" t="s">
        <v>8</v>
      </c>
    </row>
    <row r="27" spans="1:2" x14ac:dyDescent="0.35">
      <c r="A27" s="26" t="s">
        <v>129</v>
      </c>
      <c r="B27" t="s">
        <v>8</v>
      </c>
    </row>
    <row r="28" spans="1:2" x14ac:dyDescent="0.35">
      <c r="A28" s="26" t="s">
        <v>130</v>
      </c>
      <c r="B28" t="s">
        <v>8</v>
      </c>
    </row>
    <row r="29" spans="1:2" x14ac:dyDescent="0.35">
      <c r="A29" s="26" t="s">
        <v>131</v>
      </c>
      <c r="B29" t="s">
        <v>8</v>
      </c>
    </row>
    <row r="30" spans="1:2" x14ac:dyDescent="0.35">
      <c r="A30" s="26" t="s">
        <v>132</v>
      </c>
      <c r="B30" t="s">
        <v>8</v>
      </c>
    </row>
    <row r="31" spans="1:2" x14ac:dyDescent="0.35">
      <c r="A31" s="26" t="s">
        <v>133</v>
      </c>
      <c r="B31" t="s">
        <v>8</v>
      </c>
    </row>
    <row r="32" spans="1:2" x14ac:dyDescent="0.35">
      <c r="A32" s="26" t="s">
        <v>134</v>
      </c>
      <c r="B32" t="s">
        <v>8</v>
      </c>
    </row>
    <row r="33" spans="1:2" x14ac:dyDescent="0.35">
      <c r="A33" s="26" t="s">
        <v>135</v>
      </c>
      <c r="B33" t="s">
        <v>8</v>
      </c>
    </row>
    <row r="34" spans="1:2" x14ac:dyDescent="0.35">
      <c r="A34" s="26" t="s">
        <v>136</v>
      </c>
      <c r="B34" t="s">
        <v>8</v>
      </c>
    </row>
    <row r="35" spans="1:2" x14ac:dyDescent="0.35">
      <c r="A35" s="26" t="s">
        <v>137</v>
      </c>
      <c r="B35" t="s">
        <v>8</v>
      </c>
    </row>
    <row r="36" spans="1:2" x14ac:dyDescent="0.35">
      <c r="A36" s="26" t="s">
        <v>138</v>
      </c>
      <c r="B36" t="s">
        <v>8</v>
      </c>
    </row>
    <row r="37" spans="1:2" x14ac:dyDescent="0.35">
      <c r="A37" s="26" t="s">
        <v>139</v>
      </c>
      <c r="B37" t="s">
        <v>8</v>
      </c>
    </row>
    <row r="38" spans="1:2" x14ac:dyDescent="0.35">
      <c r="A38" s="26" t="s">
        <v>140</v>
      </c>
      <c r="B38" t="s">
        <v>8</v>
      </c>
    </row>
    <row r="39" spans="1:2" x14ac:dyDescent="0.35">
      <c r="A39" s="26" t="s">
        <v>141</v>
      </c>
      <c r="B39" t="s">
        <v>8</v>
      </c>
    </row>
    <row r="40" spans="1:2" x14ac:dyDescent="0.35">
      <c r="A40" s="26" t="s">
        <v>142</v>
      </c>
      <c r="B40" t="s">
        <v>8</v>
      </c>
    </row>
    <row r="41" spans="1:2" x14ac:dyDescent="0.35">
      <c r="A41" s="26" t="s">
        <v>143</v>
      </c>
      <c r="B41" t="s">
        <v>8</v>
      </c>
    </row>
    <row r="42" spans="1:2" x14ac:dyDescent="0.35">
      <c r="A42" s="26" t="s">
        <v>144</v>
      </c>
      <c r="B42" t="s">
        <v>8</v>
      </c>
    </row>
    <row r="43" spans="1:2" x14ac:dyDescent="0.35">
      <c r="A43" s="26" t="s">
        <v>145</v>
      </c>
      <c r="B43" t="s">
        <v>8</v>
      </c>
    </row>
    <row r="44" spans="1:2" x14ac:dyDescent="0.35">
      <c r="A44" s="26" t="s">
        <v>146</v>
      </c>
      <c r="B44" t="s">
        <v>8</v>
      </c>
    </row>
    <row r="45" spans="1:2" x14ac:dyDescent="0.35">
      <c r="A45" s="26" t="s">
        <v>147</v>
      </c>
      <c r="B45" t="s">
        <v>8</v>
      </c>
    </row>
    <row r="46" spans="1:2" x14ac:dyDescent="0.35">
      <c r="A46" s="26" t="s">
        <v>148</v>
      </c>
      <c r="B46" t="s">
        <v>8</v>
      </c>
    </row>
    <row r="47" spans="1:2" x14ac:dyDescent="0.35">
      <c r="A47" s="26" t="s">
        <v>149</v>
      </c>
      <c r="B47" t="s">
        <v>8</v>
      </c>
    </row>
    <row r="48" spans="1:2" x14ac:dyDescent="0.35">
      <c r="A48" s="26" t="s">
        <v>150</v>
      </c>
      <c r="B48" t="s">
        <v>8</v>
      </c>
    </row>
    <row r="49" spans="1:2" x14ac:dyDescent="0.35">
      <c r="A49" s="26" t="s">
        <v>151</v>
      </c>
      <c r="B49" t="s">
        <v>8</v>
      </c>
    </row>
    <row r="50" spans="1:2" x14ac:dyDescent="0.35">
      <c r="A50" s="26" t="s">
        <v>152</v>
      </c>
      <c r="B50" t="s">
        <v>8</v>
      </c>
    </row>
    <row r="51" spans="1:2" x14ac:dyDescent="0.35">
      <c r="A51" s="26" t="s">
        <v>153</v>
      </c>
      <c r="B51" t="s">
        <v>8</v>
      </c>
    </row>
    <row r="52" spans="1:2" x14ac:dyDescent="0.35">
      <c r="A52" s="26" t="s">
        <v>154</v>
      </c>
      <c r="B52" t="s">
        <v>8</v>
      </c>
    </row>
    <row r="53" spans="1:2" x14ac:dyDescent="0.35">
      <c r="A53" s="26" t="s">
        <v>155</v>
      </c>
      <c r="B53" t="s">
        <v>8</v>
      </c>
    </row>
    <row r="54" spans="1:2" x14ac:dyDescent="0.35">
      <c r="A54" s="26" t="s">
        <v>156</v>
      </c>
      <c r="B54" t="s">
        <v>8</v>
      </c>
    </row>
    <row r="55" spans="1:2" x14ac:dyDescent="0.35">
      <c r="A55" s="26" t="s">
        <v>157</v>
      </c>
      <c r="B55" t="s">
        <v>8</v>
      </c>
    </row>
    <row r="56" spans="1:2" x14ac:dyDescent="0.35">
      <c r="A56" s="26" t="s">
        <v>158</v>
      </c>
      <c r="B56" t="s">
        <v>8</v>
      </c>
    </row>
    <row r="57" spans="1:2" x14ac:dyDescent="0.35">
      <c r="A57" s="26" t="s">
        <v>159</v>
      </c>
      <c r="B57" t="s">
        <v>8</v>
      </c>
    </row>
    <row r="58" spans="1:2" x14ac:dyDescent="0.35">
      <c r="A58" s="26" t="s">
        <v>160</v>
      </c>
      <c r="B58" t="s">
        <v>8</v>
      </c>
    </row>
    <row r="59" spans="1:2" x14ac:dyDescent="0.35">
      <c r="A59" s="26" t="s">
        <v>161</v>
      </c>
      <c r="B59" t="s">
        <v>8</v>
      </c>
    </row>
    <row r="60" spans="1:2" x14ac:dyDescent="0.35">
      <c r="A60" s="26" t="s">
        <v>162</v>
      </c>
      <c r="B60" t="s">
        <v>8</v>
      </c>
    </row>
    <row r="61" spans="1:2" x14ac:dyDescent="0.35">
      <c r="A61" s="26" t="s">
        <v>163</v>
      </c>
      <c r="B61" t="s">
        <v>8</v>
      </c>
    </row>
    <row r="62" spans="1:2" x14ac:dyDescent="0.35">
      <c r="A62" s="26" t="s">
        <v>164</v>
      </c>
      <c r="B62" t="s">
        <v>8</v>
      </c>
    </row>
    <row r="63" spans="1:2" x14ac:dyDescent="0.35">
      <c r="A63" s="26" t="s">
        <v>165</v>
      </c>
      <c r="B63" t="s">
        <v>8</v>
      </c>
    </row>
    <row r="64" spans="1:2" x14ac:dyDescent="0.35">
      <c r="A64" s="26" t="s">
        <v>166</v>
      </c>
      <c r="B64" t="s">
        <v>8</v>
      </c>
    </row>
    <row r="65" spans="1:2" x14ac:dyDescent="0.35">
      <c r="A65" s="26" t="s">
        <v>167</v>
      </c>
      <c r="B65" t="s">
        <v>8</v>
      </c>
    </row>
    <row r="66" spans="1:2" x14ac:dyDescent="0.35">
      <c r="A66" s="26" t="s">
        <v>168</v>
      </c>
      <c r="B66" t="s">
        <v>8</v>
      </c>
    </row>
    <row r="67" spans="1:2" x14ac:dyDescent="0.35">
      <c r="A67" s="26" t="s">
        <v>169</v>
      </c>
      <c r="B67" t="s">
        <v>8</v>
      </c>
    </row>
    <row r="68" spans="1:2" x14ac:dyDescent="0.35">
      <c r="A68" s="26" t="s">
        <v>170</v>
      </c>
      <c r="B68" t="s">
        <v>8</v>
      </c>
    </row>
    <row r="69" spans="1:2" x14ac:dyDescent="0.35">
      <c r="A69" s="26" t="s">
        <v>171</v>
      </c>
      <c r="B69" t="s">
        <v>8</v>
      </c>
    </row>
    <row r="70" spans="1:2" x14ac:dyDescent="0.35">
      <c r="A70" s="26" t="s">
        <v>172</v>
      </c>
      <c r="B70" t="s">
        <v>8</v>
      </c>
    </row>
    <row r="71" spans="1:2" x14ac:dyDescent="0.35">
      <c r="A71" s="26" t="s">
        <v>173</v>
      </c>
      <c r="B71" t="s">
        <v>8</v>
      </c>
    </row>
    <row r="72" spans="1:2" x14ac:dyDescent="0.35">
      <c r="A72" s="26" t="s">
        <v>174</v>
      </c>
      <c r="B72" t="s">
        <v>8</v>
      </c>
    </row>
    <row r="73" spans="1:2" x14ac:dyDescent="0.35">
      <c r="A73" s="26" t="s">
        <v>175</v>
      </c>
      <c r="B73" t="s">
        <v>8</v>
      </c>
    </row>
    <row r="74" spans="1:2" x14ac:dyDescent="0.35">
      <c r="A74" s="26" t="s">
        <v>176</v>
      </c>
      <c r="B74" t="s">
        <v>8</v>
      </c>
    </row>
    <row r="75" spans="1:2" x14ac:dyDescent="0.35">
      <c r="A75" s="26" t="s">
        <v>177</v>
      </c>
      <c r="B75" t="s">
        <v>8</v>
      </c>
    </row>
    <row r="76" spans="1:2" x14ac:dyDescent="0.35">
      <c r="A76" s="26" t="s">
        <v>178</v>
      </c>
      <c r="B76" t="s">
        <v>8</v>
      </c>
    </row>
    <row r="77" spans="1:2" x14ac:dyDescent="0.35">
      <c r="A77" s="26" t="s">
        <v>179</v>
      </c>
      <c r="B77" t="s">
        <v>8</v>
      </c>
    </row>
    <row r="78" spans="1:2" x14ac:dyDescent="0.35">
      <c r="A78" s="26" t="s">
        <v>180</v>
      </c>
      <c r="B78" t="s">
        <v>8</v>
      </c>
    </row>
    <row r="79" spans="1:2" x14ac:dyDescent="0.35">
      <c r="A79" s="26" t="s">
        <v>181</v>
      </c>
      <c r="B79" t="s">
        <v>8</v>
      </c>
    </row>
    <row r="80" spans="1:2" x14ac:dyDescent="0.35">
      <c r="A80" s="26" t="s">
        <v>182</v>
      </c>
      <c r="B80" t="s">
        <v>8</v>
      </c>
    </row>
    <row r="81" spans="1:2" x14ac:dyDescent="0.35">
      <c r="A81" s="26" t="s">
        <v>183</v>
      </c>
      <c r="B81" t="s">
        <v>8</v>
      </c>
    </row>
    <row r="82" spans="1:2" x14ac:dyDescent="0.35">
      <c r="A82" s="26" t="s">
        <v>184</v>
      </c>
      <c r="B82" t="s">
        <v>8</v>
      </c>
    </row>
    <row r="83" spans="1:2" x14ac:dyDescent="0.35">
      <c r="A83" s="26" t="s">
        <v>185</v>
      </c>
      <c r="B83" t="s">
        <v>8</v>
      </c>
    </row>
    <row r="84" spans="1:2" x14ac:dyDescent="0.35">
      <c r="A84" s="26" t="s">
        <v>186</v>
      </c>
      <c r="B84" t="s">
        <v>8</v>
      </c>
    </row>
    <row r="85" spans="1:2" x14ac:dyDescent="0.35">
      <c r="A85" s="26" t="s">
        <v>187</v>
      </c>
      <c r="B85" t="s">
        <v>8</v>
      </c>
    </row>
    <row r="86" spans="1:2" x14ac:dyDescent="0.35">
      <c r="A86" s="26" t="s">
        <v>188</v>
      </c>
      <c r="B86" t="s">
        <v>8</v>
      </c>
    </row>
    <row r="87" spans="1:2" x14ac:dyDescent="0.35">
      <c r="A87" s="26" t="s">
        <v>189</v>
      </c>
      <c r="B87" t="s">
        <v>8</v>
      </c>
    </row>
    <row r="88" spans="1:2" x14ac:dyDescent="0.35">
      <c r="A88" s="26" t="s">
        <v>190</v>
      </c>
      <c r="B88" t="s">
        <v>8</v>
      </c>
    </row>
    <row r="89" spans="1:2" x14ac:dyDescent="0.35">
      <c r="A89" s="26" t="s">
        <v>191</v>
      </c>
      <c r="B89" t="s">
        <v>8</v>
      </c>
    </row>
    <row r="90" spans="1:2" x14ac:dyDescent="0.35">
      <c r="A90" s="26" t="s">
        <v>192</v>
      </c>
      <c r="B90" t="s">
        <v>8</v>
      </c>
    </row>
    <row r="91" spans="1:2" x14ac:dyDescent="0.35">
      <c r="A91" s="26" t="s">
        <v>193</v>
      </c>
      <c r="B91" t="s">
        <v>8</v>
      </c>
    </row>
    <row r="92" spans="1:2" x14ac:dyDescent="0.35">
      <c r="A92" s="26" t="s">
        <v>194</v>
      </c>
      <c r="B92" t="s">
        <v>8</v>
      </c>
    </row>
    <row r="93" spans="1:2" x14ac:dyDescent="0.35">
      <c r="A93" s="26" t="s">
        <v>195</v>
      </c>
      <c r="B93" t="s">
        <v>8</v>
      </c>
    </row>
    <row r="94" spans="1:2" x14ac:dyDescent="0.35">
      <c r="A94" s="26" t="s">
        <v>196</v>
      </c>
      <c r="B94" t="s">
        <v>8</v>
      </c>
    </row>
    <row r="95" spans="1:2" x14ac:dyDescent="0.35">
      <c r="A95" s="26" t="s">
        <v>197</v>
      </c>
      <c r="B95" t="s">
        <v>8</v>
      </c>
    </row>
    <row r="96" spans="1:2" x14ac:dyDescent="0.35">
      <c r="A96" s="26" t="s">
        <v>198</v>
      </c>
      <c r="B96" t="s">
        <v>8</v>
      </c>
    </row>
    <row r="97" spans="1:2" x14ac:dyDescent="0.35">
      <c r="A97" s="26" t="s">
        <v>199</v>
      </c>
      <c r="B97" t="s">
        <v>8</v>
      </c>
    </row>
    <row r="98" spans="1:2" x14ac:dyDescent="0.35">
      <c r="A98" s="26" t="s">
        <v>200</v>
      </c>
      <c r="B98" t="s">
        <v>8</v>
      </c>
    </row>
    <row r="99" spans="1:2" x14ac:dyDescent="0.35">
      <c r="A99" s="26" t="s">
        <v>201</v>
      </c>
      <c r="B99" t="s">
        <v>8</v>
      </c>
    </row>
    <row r="100" spans="1:2" x14ac:dyDescent="0.35">
      <c r="A100" s="26" t="s">
        <v>202</v>
      </c>
      <c r="B100" t="s">
        <v>8</v>
      </c>
    </row>
    <row r="101" spans="1:2" x14ac:dyDescent="0.35">
      <c r="A101" s="26" t="s">
        <v>203</v>
      </c>
      <c r="B101" t="s">
        <v>8</v>
      </c>
    </row>
    <row r="102" spans="1:2" x14ac:dyDescent="0.35">
      <c r="A102" s="26" t="s">
        <v>204</v>
      </c>
      <c r="B102" t="s">
        <v>8</v>
      </c>
    </row>
    <row r="103" spans="1:2" x14ac:dyDescent="0.35">
      <c r="A103" s="26" t="s">
        <v>205</v>
      </c>
      <c r="B103" t="s">
        <v>8</v>
      </c>
    </row>
    <row r="104" spans="1:2" x14ac:dyDescent="0.35">
      <c r="A104" s="26" t="s">
        <v>206</v>
      </c>
      <c r="B104" t="s">
        <v>8</v>
      </c>
    </row>
    <row r="105" spans="1:2" x14ac:dyDescent="0.35">
      <c r="A105" s="26" t="s">
        <v>207</v>
      </c>
      <c r="B105" t="s">
        <v>8</v>
      </c>
    </row>
    <row r="106" spans="1:2" x14ac:dyDescent="0.35">
      <c r="A106" s="26" t="s">
        <v>208</v>
      </c>
      <c r="B106" t="s">
        <v>8</v>
      </c>
    </row>
    <row r="107" spans="1:2" x14ac:dyDescent="0.35">
      <c r="A107" s="26" t="s">
        <v>209</v>
      </c>
      <c r="B107" t="s">
        <v>8</v>
      </c>
    </row>
    <row r="108" spans="1:2" x14ac:dyDescent="0.35">
      <c r="A108" s="26" t="s">
        <v>210</v>
      </c>
      <c r="B108" t="s">
        <v>8</v>
      </c>
    </row>
    <row r="109" spans="1:2" x14ac:dyDescent="0.35">
      <c r="A109" s="26" t="s">
        <v>211</v>
      </c>
      <c r="B109" t="s">
        <v>8</v>
      </c>
    </row>
    <row r="110" spans="1:2" x14ac:dyDescent="0.35">
      <c r="A110" s="26" t="s">
        <v>212</v>
      </c>
      <c r="B110" t="s">
        <v>8</v>
      </c>
    </row>
    <row r="111" spans="1:2" x14ac:dyDescent="0.35">
      <c r="A111" s="26" t="s">
        <v>213</v>
      </c>
      <c r="B111" t="s">
        <v>8</v>
      </c>
    </row>
    <row r="112" spans="1:2" x14ac:dyDescent="0.35">
      <c r="A112" s="26" t="s">
        <v>214</v>
      </c>
      <c r="B112" t="s">
        <v>8</v>
      </c>
    </row>
    <row r="113" spans="1:2" x14ac:dyDescent="0.35">
      <c r="A113" s="26" t="s">
        <v>215</v>
      </c>
      <c r="B113" t="s">
        <v>8</v>
      </c>
    </row>
    <row r="114" spans="1:2" x14ac:dyDescent="0.35">
      <c r="A114" s="26" t="s">
        <v>216</v>
      </c>
      <c r="B114" t="s">
        <v>8</v>
      </c>
    </row>
    <row r="115" spans="1:2" x14ac:dyDescent="0.35">
      <c r="A115" s="26" t="s">
        <v>217</v>
      </c>
      <c r="B115" t="s">
        <v>8</v>
      </c>
    </row>
    <row r="116" spans="1:2" x14ac:dyDescent="0.35">
      <c r="A116" s="26" t="s">
        <v>218</v>
      </c>
      <c r="B116" t="s">
        <v>8</v>
      </c>
    </row>
    <row r="117" spans="1:2" x14ac:dyDescent="0.35">
      <c r="A117" s="26" t="s">
        <v>219</v>
      </c>
      <c r="B117" t="s">
        <v>8</v>
      </c>
    </row>
    <row r="118" spans="1:2" x14ac:dyDescent="0.35">
      <c r="A118" s="26" t="s">
        <v>220</v>
      </c>
      <c r="B118" t="s">
        <v>8</v>
      </c>
    </row>
    <row r="119" spans="1:2" x14ac:dyDescent="0.35">
      <c r="A119" s="26" t="s">
        <v>221</v>
      </c>
      <c r="B119" t="s">
        <v>8</v>
      </c>
    </row>
    <row r="120" spans="1:2" x14ac:dyDescent="0.35">
      <c r="A120" s="26" t="s">
        <v>222</v>
      </c>
      <c r="B120" t="s">
        <v>8</v>
      </c>
    </row>
    <row r="121" spans="1:2" x14ac:dyDescent="0.35">
      <c r="A121" s="26" t="s">
        <v>223</v>
      </c>
      <c r="B121" t="s">
        <v>8</v>
      </c>
    </row>
    <row r="122" spans="1:2" x14ac:dyDescent="0.35">
      <c r="A122" s="26" t="s">
        <v>224</v>
      </c>
      <c r="B122" t="s">
        <v>8</v>
      </c>
    </row>
    <row r="123" spans="1:2" x14ac:dyDescent="0.35">
      <c r="A123" s="26" t="s">
        <v>225</v>
      </c>
      <c r="B123" t="s">
        <v>8</v>
      </c>
    </row>
    <row r="124" spans="1:2" x14ac:dyDescent="0.35">
      <c r="A124" s="26" t="s">
        <v>226</v>
      </c>
      <c r="B124" t="s">
        <v>8</v>
      </c>
    </row>
    <row r="125" spans="1:2" x14ac:dyDescent="0.35">
      <c r="A125" s="26" t="s">
        <v>227</v>
      </c>
      <c r="B125" t="s">
        <v>8</v>
      </c>
    </row>
    <row r="126" spans="1:2" x14ac:dyDescent="0.35">
      <c r="A126" s="26" t="s">
        <v>228</v>
      </c>
      <c r="B126" t="s">
        <v>8</v>
      </c>
    </row>
    <row r="127" spans="1:2" x14ac:dyDescent="0.35">
      <c r="A127" s="26" t="s">
        <v>229</v>
      </c>
      <c r="B127" t="s">
        <v>8</v>
      </c>
    </row>
    <row r="128" spans="1:2" x14ac:dyDescent="0.35">
      <c r="A128" s="26" t="s">
        <v>230</v>
      </c>
      <c r="B128"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Rater</vt:lpstr>
      <vt:lpstr>Application</vt:lpstr>
      <vt:lpstr>Pick List</vt:lpstr>
      <vt:lpstr>Concatanate</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Burlingame</dc:creator>
  <cp:lastModifiedBy>Siddhesh Rane</cp:lastModifiedBy>
  <dcterms:created xsi:type="dcterms:W3CDTF">2021-06-16T03:00:53Z</dcterms:created>
  <dcterms:modified xsi:type="dcterms:W3CDTF">2026-02-18T07:33:19Z</dcterms:modified>
</cp:coreProperties>
</file>